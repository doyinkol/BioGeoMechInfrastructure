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it0-my.sharepoint.com/personal/ok62_njit_edu/Documents/GGES Group Research/Current/Mary Ngoma/Rock Bio-Invasion/Project 5 - Hydraulic properties/Supporting Data/"/>
    </mc:Choice>
  </mc:AlternateContent>
  <xr:revisionPtr revIDLastSave="91" documentId="8_{83EBB2BD-4537-6A42-84DB-19BBD0064C33}" xr6:coauthVersionLast="47" xr6:coauthVersionMax="47" xr10:uidLastSave="{63FD8557-9663-D545-ABF1-51B6D3C50B94}"/>
  <bookViews>
    <workbookView xWindow="6520" yWindow="760" windowWidth="28040" windowHeight="17440" xr2:uid="{EE213DEC-5575-2E47-89DF-D7173C9824C3}"/>
  </bookViews>
  <sheets>
    <sheet name="Micro_C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E685" i="1"/>
  <c r="F531" i="1"/>
  <c r="E299" i="1"/>
</calcChain>
</file>

<file path=xl/sharedStrings.xml><?xml version="1.0" encoding="utf-8"?>
<sst xmlns="http://schemas.openxmlformats.org/spreadsheetml/2006/main" count="1137" uniqueCount="232">
  <si>
    <t>-----------------------------------------------------------------</t>
  </si>
  <si>
    <t>Loaded dataset:</t>
  </si>
  <si>
    <t xml:space="preserve"> H:\Results - 2\Mary Ngoma\SM1\SM1_Rec\VOI(2)\sm1_rec_voi_</t>
  </si>
  <si>
    <t>Mode</t>
  </si>
  <si>
    <t xml:space="preserve"> Global</t>
  </si>
  <si>
    <t>Lower grey threshold</t>
  </si>
  <si>
    <t>Upper grey threshold</t>
  </si>
  <si>
    <t>Date and time</t>
  </si>
  <si>
    <t>Operator identity</t>
  </si>
  <si>
    <t>ORDUser</t>
  </si>
  <si>
    <t>Computer name</t>
  </si>
  <si>
    <t>SKYCAD</t>
  </si>
  <si>
    <t>Computation time</t>
  </si>
  <si>
    <t>Dataset</t>
  </si>
  <si>
    <t>sm1_rec_voi_</t>
  </si>
  <si>
    <t>Location</t>
  </si>
  <si>
    <t>H:\Results - 2\Mary Ngoma\SM1\SM1_Rec\VOI(2)\</t>
  </si>
  <si>
    <t>MORPHOMETRY RESULTS</t>
  </si>
  <si>
    <t>----------------------------</t>
  </si>
  <si>
    <t>Description</t>
  </si>
  <si>
    <t>Abbreviation</t>
  </si>
  <si>
    <t>Value</t>
  </si>
  <si>
    <t>Unit</t>
  </si>
  <si>
    <t>Number of layers</t>
  </si>
  <si>
    <t>Lower vertical position</t>
  </si>
  <si>
    <t>pixel</t>
  </si>
  <si>
    <t>Upper vertical position</t>
  </si>
  <si>
    <t>Pixel size</t>
  </si>
  <si>
    <t>um</t>
  </si>
  <si>
    <t>Tissue volume</t>
  </si>
  <si>
    <t>TV</t>
  </si>
  <si>
    <t>pixel^3</t>
  </si>
  <si>
    <t>Bone volume</t>
  </si>
  <si>
    <t>BV</t>
  </si>
  <si>
    <t>Percent bone volume</t>
  </si>
  <si>
    <t>BV/TV</t>
  </si>
  <si>
    <t>%</t>
  </si>
  <si>
    <t>Tissue surface</t>
  </si>
  <si>
    <t>TS</t>
  </si>
  <si>
    <t>pixel^2</t>
  </si>
  <si>
    <t>Bone surface</t>
  </si>
  <si>
    <t>BS</t>
  </si>
  <si>
    <t>Intersection surface</t>
  </si>
  <si>
    <t>i.S</t>
  </si>
  <si>
    <t>Bone surface / volume ratio</t>
  </si>
  <si>
    <t>BS/BV</t>
  </si>
  <si>
    <t>1/pixel</t>
  </si>
  <si>
    <t>Bone surface density</t>
  </si>
  <si>
    <t>BS/TV</t>
  </si>
  <si>
    <t>Centroid (x)</t>
  </si>
  <si>
    <t>Crd.X</t>
  </si>
  <si>
    <t>Centroid (y)</t>
  </si>
  <si>
    <t>Crd.Y</t>
  </si>
  <si>
    <t>Centroid (z)</t>
  </si>
  <si>
    <t>Crd.Z</t>
  </si>
  <si>
    <t>Trabecular thickness</t>
  </si>
  <si>
    <t>Tb.Th</t>
  </si>
  <si>
    <t>Trabecular number</t>
  </si>
  <si>
    <t>Tb.N</t>
  </si>
  <si>
    <t>Trabecular separation</t>
  </si>
  <si>
    <t>Tb.Sp</t>
  </si>
  <si>
    <t>Trabecular thickness distribution</t>
  </si>
  <si>
    <t>Range</t>
  </si>
  <si>
    <t>Mid-range</t>
  </si>
  <si>
    <t>Volume</t>
  </si>
  <si>
    <t>Percent volume in range</t>
  </si>
  <si>
    <t>1.0 - &lt;3.0</t>
  </si>
  <si>
    <t>3.0 - &lt;5.0</t>
  </si>
  <si>
    <t>5.0 - &lt;7.0</t>
  </si>
  <si>
    <t>7.0 - &lt;9.0</t>
  </si>
  <si>
    <t>9.0 - &lt;11.0</t>
  </si>
  <si>
    <t>11.0 - &lt;13.0</t>
  </si>
  <si>
    <t>13.0 - &lt;15.0</t>
  </si>
  <si>
    <t>15.0 - &lt;17.0</t>
  </si>
  <si>
    <t>17.0 - &lt;19.0</t>
  </si>
  <si>
    <t>19.0 - &lt;21.0</t>
  </si>
  <si>
    <t>21.0 - &lt;23.0</t>
  </si>
  <si>
    <t>Standard deviation of trabecular thickness</t>
  </si>
  <si>
    <t>SD(Tb.Th)</t>
  </si>
  <si>
    <t>Trabecular separation distribution</t>
  </si>
  <si>
    <t>23.0 - &lt;25.0</t>
  </si>
  <si>
    <t>25.0 - &lt;27.0</t>
  </si>
  <si>
    <t>27.0 - &lt;29.0</t>
  </si>
  <si>
    <t>29.0 - &lt;31.0</t>
  </si>
  <si>
    <t>31.0 - &lt;33.0</t>
  </si>
  <si>
    <t>33.0 - &lt;35.0</t>
  </si>
  <si>
    <t>35.0 - &lt;37.0</t>
  </si>
  <si>
    <t>Standard deviation of trabecular separation</t>
  </si>
  <si>
    <t>SD(Tb.Sp)</t>
  </si>
  <si>
    <t>[ 03/31/25 17:59:36 ] Thresholding</t>
  </si>
  <si>
    <t>[ 03/31/25 17:59:38 ]	Thresholding done</t>
  </si>
  <si>
    <t>[ 03/31/25 18:03:11 ]	3D analysis</t>
  </si>
  <si>
    <t>Destination folder of images of Trabecular thickness: H:\Results - 2\Mary Ngoma\SM1\SM1_Rec\VOI(2)\TBTH(4)</t>
  </si>
  <si>
    <t>Destination folder of images of Trabecular separation: H:\Results - 2\Mary Ngoma\SM1\SM1_Rec\VOI(2)\TBSP(4)</t>
  </si>
  <si>
    <t>31.03.2025 18:03</t>
  </si>
  <si>
    <t>[ 03/31/25 18:08:11 ]	3D analysis</t>
  </si>
  <si>
    <t>Destination folder of images of Trabecular thickness: H:\Results - 2\Mary Ngoma\SM1\SM1_Rec\VOI(2)\TBTH(5)</t>
  </si>
  <si>
    <t>Destination folder of images of Trabecular separation: H:\Results - 2\Mary Ngoma\SM1\SM1_Rec\VOI(2)\TBSP(5)</t>
  </si>
  <si>
    <t>31.03.2025 18:08</t>
  </si>
  <si>
    <t>[ 03/31/25 18:20:59 ]	Bitwise operations</t>
  </si>
  <si>
    <t>&lt;Image&gt; = &lt;Region of Interest&gt; XOR &lt;Image&gt;</t>
  </si>
  <si>
    <t>[ 03/31/25 18:21:02 ]	Bitwise operations done</t>
  </si>
  <si>
    <t>[ 03/31/25 18:22:32 ]	Primitive ROI</t>
  </si>
  <si>
    <t>Bottom edge</t>
  </si>
  <si>
    <t>Infimum</t>
  </si>
  <si>
    <t>[ 03/31/25 18:22:33 ]	Primitive ROI done</t>
  </si>
  <si>
    <t>[ 03/31/25 18:25:17 ]	ROI shrink-wrap</t>
  </si>
  <si>
    <t>Mode : Adaptive (3D space)</t>
  </si>
  <si>
    <t>[ 03/31/25 18:26:09 ]	Primitive ROI</t>
  </si>
  <si>
    <t>Top edge</t>
  </si>
  <si>
    <t>[ 03/31/25 18:26:10 ]	Primitive ROI done</t>
  </si>
  <si>
    <t>[ 03/31/25 18:27:59 ]	ROI shrink-wrap</t>
  </si>
  <si>
    <t>[ 03/31/25 18:30:19 ]	Bitwise operations</t>
  </si>
  <si>
    <t>&lt;Image&gt; = SWAP &lt;Region of Interest&gt;</t>
  </si>
  <si>
    <t>[ 03/31/25 18:30:21 ]	Bitwise operations done</t>
  </si>
  <si>
    <t>[ 03/31/25 18:31:00 ]	3D analysis</t>
  </si>
  <si>
    <t>31.03.2025 18:31</t>
  </si>
  <si>
    <t>Connectivity</t>
  </si>
  <si>
    <t>Porosity</t>
  </si>
  <si>
    <t xml:space="preserve"> H:\Results - 2\Mary Ngoma\SM1_after\SM1_AFTER_Rec\VOI(1)\sm1_after_rec_voi_</t>
  </si>
  <si>
    <t>[ 02/27/25 15:25:51 ] Thresholding (3D space) inside VOI</t>
  </si>
  <si>
    <t xml:space="preserve"> Multilevel (Otsu method)</t>
  </si>
  <si>
    <t>Output color of class thresholding</t>
  </si>
  <si>
    <t xml:space="preserve"> Mean intensity in class</t>
  </si>
  <si>
    <t>Number of threshold levels</t>
  </si>
  <si>
    <t>Level 1</t>
  </si>
  <si>
    <t>Level 2</t>
  </si>
  <si>
    <t>[ 02/27/25 15:25:55 ]	Thresholding done</t>
  </si>
  <si>
    <t>[ 04/02/25 19:24:54 ] Thresholding</t>
  </si>
  <si>
    <t>[ 04/02/25 19:24:56 ]	Thresholding done</t>
  </si>
  <si>
    <t>[ 04/02/25 19:26:49 ]	3D analysis</t>
  </si>
  <si>
    <t>Destination folder of images of Trabecular thickness: H:\Results - 2\Mary Ngoma\SM1_after\SM1_AFTER_Rec\VOI(1)\TBTH(1)</t>
  </si>
  <si>
    <t>02.04.2025 19:26</t>
  </si>
  <si>
    <t>sm1_after_rec_voi_</t>
  </si>
  <si>
    <t>H:\Results - 2\Mary Ngoma\SM1_after\SM1_AFTER_Rec\VOI(1)\</t>
  </si>
  <si>
    <t>37.0 - &lt;39.0</t>
  </si>
  <si>
    <t>39.0 - &lt;41.0</t>
  </si>
  <si>
    <t>41.0 - &lt;43.0</t>
  </si>
  <si>
    <t>[ 04/02/25 19:31:51 ]	Save bitmaps (only image)</t>
  </si>
  <si>
    <t>Destination folder: H:\Results - 2\Mary Ngoma\SM1_after\SM1_AFTER_Rec\VOI(1)\IMG(1)</t>
  </si>
  <si>
    <t>File format: bmp</t>
  </si>
  <si>
    <t>Number of saved files: 300</t>
  </si>
  <si>
    <t>[ 04/02/25 19:32:55 ]	Bitwise operations</t>
  </si>
  <si>
    <t>&lt;Image&gt; = NOT &lt;Image&gt;</t>
  </si>
  <si>
    <t>[ 04/02/25 19:32:56 ]	Bitwise operations done</t>
  </si>
  <si>
    <t>[ 04/02/25 19:33:19 ]	Save bitmaps (image inside ROI)</t>
  </si>
  <si>
    <t>Destination folder: H:\Results - 2\Mary Ngoma\SM1_after\SM1_AFTER_Rec\VOI(1)\VOI(1)</t>
  </si>
  <si>
    <t>Resize to the ROI bounds: Off</t>
  </si>
  <si>
    <t>[ 04/02/25 19:34:37 ]	Bitwise operations</t>
  </si>
  <si>
    <t>[ 04/02/25 19:34:38 ]	Bitwise operations done</t>
  </si>
  <si>
    <t>[ 04/02/25 19:34:52 ]	Bitwise operations</t>
  </si>
  <si>
    <t>[ 04/02/25 19:34:55 ]	Bitwise operations done</t>
  </si>
  <si>
    <t>[ 04/02/25 19:35:12 ]	Primitive ROI</t>
  </si>
  <si>
    <t>[ 04/02/25 19:35:13 ]	Primitive ROI done</t>
  </si>
  <si>
    <t>[ 04/02/25 19:36:47 ]	ROI shrink-wrap</t>
  </si>
  <si>
    <t>[ 04/02/25 19:37:25 ]	Bitwise operations</t>
  </si>
  <si>
    <t>[ 04/02/25 19:37:27 ]	Bitwise operations done</t>
  </si>
  <si>
    <t>[ 04/02/25 19:37:55 ]	3D analysis</t>
  </si>
  <si>
    <t>02.04.2025 19:37</t>
  </si>
  <si>
    <t>[ 04/02/25 19:38:23 ]	3D analysis</t>
  </si>
  <si>
    <t>02.04.2025 19:38</t>
  </si>
  <si>
    <t>[ 04/02/25 19:39:34 ]	3D analysis</t>
  </si>
  <si>
    <t>02.04.2025 19:39</t>
  </si>
  <si>
    <t xml:space="preserve"> H:\Results - 2\Mary Ngoma\SM2\SM2_Rec\VOI(1)\sm2_rec_voi_</t>
  </si>
  <si>
    <t>[ 04/02/25 20:28:01 ] Thresholding</t>
  </si>
  <si>
    <t>[ 04/02/25 20:28:03 ]	Thresholding done</t>
  </si>
  <si>
    <t>[ 04/02/25 20:28:14 ]	3D analysis</t>
  </si>
  <si>
    <t>Destination folder of images of Trabecular thickness: H:\Results - 2\Mary Ngoma\SM2\SM2_Rec\VOI(1)\TBTH(5)</t>
  </si>
  <si>
    <t>02.04.2025 20:28</t>
  </si>
  <si>
    <t>sm2_rec_voi_</t>
  </si>
  <si>
    <t>H:\Results - 2\Mary Ngoma\SM2\SM2_Rec\VOI(1)\</t>
  </si>
  <si>
    <t>[ 04/02/25 20:34:11 ]	Save bitmaps (only image)</t>
  </si>
  <si>
    <t>Destination folder: H:\Results - 2\Mary Ngoma\SM2\SM2_Rec\VOI(1)\IMG</t>
  </si>
  <si>
    <t>Number of saved files: 297</t>
  </si>
  <si>
    <t>[ 04/02/25 20:35:15 ]	Bitwise operations</t>
  </si>
  <si>
    <t>[ 04/02/25 20:35:16 ]	Bitwise operations done</t>
  </si>
  <si>
    <t>[ 04/02/25 20:36:16 ]	Save bitmaps (image inside ROI)</t>
  </si>
  <si>
    <t>Destination folder: H:\Results - 2\Mary Ngoma\SM2\SM2_Rec\VOI(1)\VOI</t>
  </si>
  <si>
    <t>[ 04/02/25 20:38:45 ]	Bitwise operations</t>
  </si>
  <si>
    <t>[ 04/02/25 20:38:46 ]	Bitwise operations done</t>
  </si>
  <si>
    <t>[ 04/02/25 20:40:42 ]	Bitwise operations</t>
  </si>
  <si>
    <t>[ 04/02/25 20:40:45 ]	Bitwise operations done</t>
  </si>
  <si>
    <t>[ 04/02/25 20:43:18 ]	Primitive ROI</t>
  </si>
  <si>
    <t>[ 04/02/25 20:43:20 ]	Primitive ROI done</t>
  </si>
  <si>
    <t>[ 04/02/25 20:45:51 ]	ROI shrink-wrap</t>
  </si>
  <si>
    <t>[ 04/02/25 20:46:57 ]	Bitwise operations</t>
  </si>
  <si>
    <t>[ 04/02/25 20:46:59 ]	Bitwise operations done</t>
  </si>
  <si>
    <t>[ 04/02/25 20:47:42 ]	3D analysis</t>
  </si>
  <si>
    <t>02.04.2025 20:47</t>
  </si>
  <si>
    <t xml:space="preserve"> H:\Results - 2\Mary Ngoma\SM2_after\SM2_AFTER_Rec\VOI\sm1_after_rec_voi_</t>
  </si>
  <si>
    <t>[ 04/02/25 21:32:26 ] Thresholding</t>
  </si>
  <si>
    <t>[ 04/02/25 21:32:28 ]	Thresholding done</t>
  </si>
  <si>
    <t>[ 04/02/25 21:33:14 ]	3D analysis</t>
  </si>
  <si>
    <t>Destination folder of images of Trabecular thickness: H:\Results - 2\Mary Ngoma\SM2_after\SM2_AFTER_Rec\VOI\TBTH(3)</t>
  </si>
  <si>
    <t>02.04.2025 21:33</t>
  </si>
  <si>
    <t>H:\Results - 2\Mary Ngoma\SM2_after\SM2_AFTER_Rec\VOI\</t>
  </si>
  <si>
    <t>43.0 - &lt;45.0</t>
  </si>
  <si>
    <t>[ 04/02/25 21:41:26 ]	Save bitmaps (only image)</t>
  </si>
  <si>
    <t>Destination folder: H:\Results - 2\Mary Ngoma\SM2_after\SM2_AFTER_Rec\VOI\IMG</t>
  </si>
  <si>
    <t>Number of saved files: 289</t>
  </si>
  <si>
    <t>[ 04/02/25 21:41:57 ]	Bitwise operations</t>
  </si>
  <si>
    <t>[ 04/02/25 21:41:58 ]	Bitwise operations done</t>
  </si>
  <si>
    <t>[ 04/02/25 21:42:21 ]	Save bitmaps (image inside ROI)</t>
  </si>
  <si>
    <t>Destination folder: H:\Results - 2\Mary Ngoma\SM2_after\SM2_AFTER_Rec\VOI\VOI</t>
  </si>
  <si>
    <t>[ 04/02/25 21:42:46 ]	Bitwise operations</t>
  </si>
  <si>
    <t>[ 04/02/25 21:42:47 ]	Bitwise operations done</t>
  </si>
  <si>
    <t>[ 04/02/25 21:43:21 ]	Bitwise operations</t>
  </si>
  <si>
    <t>[ 04/02/25 21:43:24 ]	Bitwise operations done</t>
  </si>
  <si>
    <t>[ 04/02/25 21:43:44 ]	Primitive ROI</t>
  </si>
  <si>
    <t>[ 04/02/25 21:43:45 ]	Primitive ROI done</t>
  </si>
  <si>
    <t>[ 04/02/25 21:45:21 ]	ROI shrink-wrap</t>
  </si>
  <si>
    <t>[ 04/02/25 21:46:04 ]	Bitwise operations</t>
  </si>
  <si>
    <t>[ 04/02/25 21:46:06 ]	Bitwise operations done</t>
  </si>
  <si>
    <t>[ 04/02/25 21:46:22 ]	3D analysis</t>
  </si>
  <si>
    <t>02.04.2025 21:46</t>
  </si>
  <si>
    <t>SM1 (BEFORE EICP TREATMENT)</t>
  </si>
  <si>
    <t>SM1 (AFTER EICP TREATMENT)</t>
  </si>
  <si>
    <t>SM2 (BEFORE BIOPOLYMER TREATMENT)</t>
  </si>
  <si>
    <t>SM2 (AFTER BIOPOLYMER TREATMENT)</t>
  </si>
  <si>
    <t>OPERATION FOR CONNECTIVITY OF SMI_BEFORE TREATMENT START HERE</t>
  </si>
  <si>
    <t xml:space="preserve">Bone = </t>
  </si>
  <si>
    <t>Tissue =</t>
  </si>
  <si>
    <t>Porosity =</t>
  </si>
  <si>
    <t>Connectivity =</t>
  </si>
  <si>
    <t>Segmented Solid Phase</t>
  </si>
  <si>
    <t>Pore Phase</t>
  </si>
  <si>
    <t>100 - percent bone volume</t>
  </si>
  <si>
    <t>percentage of connected pores (CTAn 3D Analysis)</t>
  </si>
  <si>
    <t>OPERATION FOR CONNECTIVITY OF SMI_AFTER TREATMENT START HERE</t>
  </si>
  <si>
    <t>OPERATION FOR CONNECTIVITY OF SM2_BEFORE TREATMENT START HERE</t>
  </si>
  <si>
    <t>OPERATION FOR CONNECTIVITY OF SM2_AFTER TREATMENT START HERE</t>
  </si>
  <si>
    <t>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</si>
</sst>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B050"/>
      <name val="Aptos Narrow (Body)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color rgb="FF00B05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21" fontId="0" fillId="0" borderId="0" xfId="0" applyNumberFormat="1"/>
    <xf numFmtId="0" fontId="0" fillId="33" borderId="0" xfId="0" applyFill="1"/>
    <xf numFmtId="0" fontId="14" fillId="0" borderId="0" xfId="0" applyFont="1"/>
    <xf numFmtId="0" fontId="18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EC72-0830-0A45-A295-8B1F5F06251E}">
  <dimension ref="A1:G805"/>
  <sheetViews>
    <sheetView tabSelected="1" topLeftCell="A779" workbookViewId="0">
      <selection activeCell="I806" sqref="I806"/>
    </sheetView>
  </sheetViews>
  <sheetFormatPr baseColWidth="10" defaultRowHeight="16" x14ac:dyDescent="0.2"/>
  <cols>
    <col min="1" max="1" width="13.33203125" customWidth="1"/>
    <col min="2" max="2" width="13" customWidth="1"/>
  </cols>
  <sheetData>
    <row r="1" spans="1:6" ht="17" thickBot="1" x14ac:dyDescent="0.25"/>
    <row r="2" spans="1:6" ht="17" thickBot="1" x14ac:dyDescent="0.25">
      <c r="B2" s="14" t="s">
        <v>231</v>
      </c>
      <c r="C2" s="15"/>
      <c r="D2" s="15"/>
      <c r="E2" s="15"/>
      <c r="F2" s="16"/>
    </row>
    <row r="3" spans="1:6" x14ac:dyDescent="0.2">
      <c r="B3" s="11" t="s">
        <v>220</v>
      </c>
      <c r="C3" s="7" t="s">
        <v>224</v>
      </c>
      <c r="D3" s="7"/>
      <c r="E3" s="7"/>
      <c r="F3" s="8"/>
    </row>
    <row r="4" spans="1:6" x14ac:dyDescent="0.2">
      <c r="B4" s="12" t="s">
        <v>221</v>
      </c>
      <c r="C4" s="7" t="s">
        <v>225</v>
      </c>
      <c r="D4" s="7"/>
      <c r="E4" s="7"/>
      <c r="F4" s="8"/>
    </row>
    <row r="5" spans="1:6" x14ac:dyDescent="0.2">
      <c r="B5" s="12" t="s">
        <v>222</v>
      </c>
      <c r="C5" s="7" t="s">
        <v>226</v>
      </c>
      <c r="D5" s="7"/>
      <c r="E5" s="7"/>
      <c r="F5" s="8"/>
    </row>
    <row r="6" spans="1:6" ht="17" thickBot="1" x14ac:dyDescent="0.25">
      <c r="B6" s="13" t="s">
        <v>223</v>
      </c>
      <c r="C6" s="9" t="s">
        <v>227</v>
      </c>
      <c r="D6" s="9"/>
      <c r="E6" s="9"/>
      <c r="F6" s="10"/>
    </row>
    <row r="8" spans="1:6" x14ac:dyDescent="0.2">
      <c r="A8" s="5" t="s">
        <v>215</v>
      </c>
      <c r="B8" s="3"/>
    </row>
    <row r="9" spans="1:6" x14ac:dyDescent="0.2">
      <c r="A9" t="s">
        <v>0</v>
      </c>
    </row>
    <row r="10" spans="1:6" x14ac:dyDescent="0.2">
      <c r="A10" t="s">
        <v>1</v>
      </c>
      <c r="B10" t="s">
        <v>2</v>
      </c>
    </row>
    <row r="12" spans="1:6" x14ac:dyDescent="0.2">
      <c r="A12" t="s">
        <v>0</v>
      </c>
    </row>
    <row r="13" spans="1:6" x14ac:dyDescent="0.2">
      <c r="A13" t="s">
        <v>89</v>
      </c>
    </row>
    <row r="14" spans="1:6" x14ac:dyDescent="0.2">
      <c r="A14" t="s">
        <v>3</v>
      </c>
      <c r="B14" t="s">
        <v>4</v>
      </c>
    </row>
    <row r="15" spans="1:6" x14ac:dyDescent="0.2">
      <c r="A15" t="s">
        <v>5</v>
      </c>
      <c r="B15">
        <v>26</v>
      </c>
    </row>
    <row r="16" spans="1:6" x14ac:dyDescent="0.2">
      <c r="A16" t="s">
        <v>6</v>
      </c>
      <c r="B16">
        <v>78</v>
      </c>
    </row>
    <row r="17" spans="1:2" x14ac:dyDescent="0.2">
      <c r="A17" t="s">
        <v>90</v>
      </c>
    </row>
    <row r="19" spans="1:2" x14ac:dyDescent="0.2">
      <c r="A19" t="s">
        <v>0</v>
      </c>
    </row>
    <row r="20" spans="1:2" x14ac:dyDescent="0.2">
      <c r="A20" t="s">
        <v>91</v>
      </c>
    </row>
    <row r="22" spans="1:2" x14ac:dyDescent="0.2">
      <c r="A22" t="s">
        <v>92</v>
      </c>
    </row>
    <row r="24" spans="1:2" x14ac:dyDescent="0.2">
      <c r="A24" t="s">
        <v>93</v>
      </c>
    </row>
    <row r="26" spans="1:2" x14ac:dyDescent="0.2">
      <c r="A26" t="s">
        <v>7</v>
      </c>
      <c r="B26" t="s">
        <v>94</v>
      </c>
    </row>
    <row r="27" spans="1:2" x14ac:dyDescent="0.2">
      <c r="A27" t="s">
        <v>8</v>
      </c>
      <c r="B27" t="s">
        <v>9</v>
      </c>
    </row>
    <row r="28" spans="1:2" x14ac:dyDescent="0.2">
      <c r="A28" t="s">
        <v>10</v>
      </c>
      <c r="B28" t="s">
        <v>11</v>
      </c>
    </row>
    <row r="29" spans="1:2" x14ac:dyDescent="0.2">
      <c r="A29" t="s">
        <v>12</v>
      </c>
      <c r="B29" s="1">
        <v>3.0208333333333333E-3</v>
      </c>
    </row>
    <row r="30" spans="1:2" x14ac:dyDescent="0.2">
      <c r="A30" t="s">
        <v>13</v>
      </c>
      <c r="B30" t="s">
        <v>14</v>
      </c>
    </row>
    <row r="31" spans="1:2" x14ac:dyDescent="0.2">
      <c r="A31" t="s">
        <v>15</v>
      </c>
      <c r="B31" t="s">
        <v>16</v>
      </c>
    </row>
    <row r="33" spans="1:7" x14ac:dyDescent="0.2">
      <c r="A33" t="s">
        <v>17</v>
      </c>
    </row>
    <row r="34" spans="1:7" x14ac:dyDescent="0.2">
      <c r="A34" t="s">
        <v>18</v>
      </c>
    </row>
    <row r="35" spans="1:7" x14ac:dyDescent="0.2">
      <c r="A35" t="s">
        <v>19</v>
      </c>
      <c r="B35" t="s">
        <v>20</v>
      </c>
      <c r="C35" t="s">
        <v>21</v>
      </c>
      <c r="D35" t="s">
        <v>22</v>
      </c>
    </row>
    <row r="37" spans="1:7" x14ac:dyDescent="0.2">
      <c r="A37" t="s">
        <v>23</v>
      </c>
      <c r="C37">
        <v>301</v>
      </c>
    </row>
    <row r="38" spans="1:7" x14ac:dyDescent="0.2">
      <c r="A38" t="s">
        <v>24</v>
      </c>
      <c r="C38">
        <v>606</v>
      </c>
      <c r="D38" t="s">
        <v>25</v>
      </c>
    </row>
    <row r="39" spans="1:7" x14ac:dyDescent="0.2">
      <c r="A39" t="s">
        <v>26</v>
      </c>
      <c r="C39">
        <v>906</v>
      </c>
      <c r="D39" t="s">
        <v>25</v>
      </c>
    </row>
    <row r="40" spans="1:7" x14ac:dyDescent="0.2">
      <c r="A40" t="s">
        <v>27</v>
      </c>
      <c r="C40">
        <v>12.000909999999999</v>
      </c>
      <c r="D40" t="s">
        <v>28</v>
      </c>
    </row>
    <row r="41" spans="1:7" x14ac:dyDescent="0.2">
      <c r="A41" t="s">
        <v>5</v>
      </c>
      <c r="C41">
        <v>26</v>
      </c>
    </row>
    <row r="42" spans="1:7" x14ac:dyDescent="0.2">
      <c r="A42" t="s">
        <v>6</v>
      </c>
      <c r="C42">
        <v>78</v>
      </c>
    </row>
    <row r="44" spans="1:7" x14ac:dyDescent="0.2">
      <c r="A44" t="s">
        <v>29</v>
      </c>
      <c r="B44" t="s">
        <v>30</v>
      </c>
      <c r="C44">
        <v>440092490.16667002</v>
      </c>
      <c r="D44" t="s">
        <v>31</v>
      </c>
    </row>
    <row r="45" spans="1:7" x14ac:dyDescent="0.2">
      <c r="A45" t="s">
        <v>32</v>
      </c>
      <c r="B45" t="s">
        <v>33</v>
      </c>
      <c r="C45">
        <v>353456594.40416002</v>
      </c>
      <c r="D45" t="s">
        <v>31</v>
      </c>
    </row>
    <row r="46" spans="1:7" x14ac:dyDescent="0.2">
      <c r="A46" t="s">
        <v>34</v>
      </c>
      <c r="B46" t="s">
        <v>35</v>
      </c>
      <c r="C46">
        <v>80.314160000000001</v>
      </c>
      <c r="D46" t="s">
        <v>36</v>
      </c>
      <c r="F46" s="2">
        <f>100-C46</f>
        <v>19.685839999999999</v>
      </c>
      <c r="G46" s="2" t="s">
        <v>118</v>
      </c>
    </row>
    <row r="47" spans="1:7" x14ac:dyDescent="0.2">
      <c r="A47" t="s">
        <v>37</v>
      </c>
      <c r="B47" t="s">
        <v>38</v>
      </c>
      <c r="C47">
        <v>4282786.5172199998</v>
      </c>
      <c r="D47" t="s">
        <v>39</v>
      </c>
    </row>
    <row r="48" spans="1:7" x14ac:dyDescent="0.2">
      <c r="A48" t="s">
        <v>40</v>
      </c>
      <c r="B48" t="s">
        <v>41</v>
      </c>
      <c r="C48">
        <v>67874590.421959996</v>
      </c>
      <c r="D48" t="s">
        <v>39</v>
      </c>
    </row>
    <row r="49" spans="1:4" x14ac:dyDescent="0.2">
      <c r="A49" t="s">
        <v>42</v>
      </c>
      <c r="B49" t="s">
        <v>43</v>
      </c>
      <c r="C49">
        <v>2180364.52587</v>
      </c>
      <c r="D49" t="s">
        <v>39</v>
      </c>
    </row>
    <row r="50" spans="1:4" x14ac:dyDescent="0.2">
      <c r="A50" t="s">
        <v>44</v>
      </c>
      <c r="B50" t="s">
        <v>45</v>
      </c>
      <c r="C50">
        <v>0.19203000000000001</v>
      </c>
      <c r="D50" t="s">
        <v>46</v>
      </c>
    </row>
    <row r="51" spans="1:4" x14ac:dyDescent="0.2">
      <c r="A51" t="s">
        <v>47</v>
      </c>
      <c r="B51" t="s">
        <v>48</v>
      </c>
      <c r="C51">
        <v>0.15423000000000001</v>
      </c>
      <c r="D51" t="s">
        <v>46</v>
      </c>
    </row>
    <row r="52" spans="1:4" x14ac:dyDescent="0.2">
      <c r="A52" t="s">
        <v>49</v>
      </c>
      <c r="B52" t="s">
        <v>50</v>
      </c>
      <c r="C52">
        <v>-4.6855599999999997</v>
      </c>
      <c r="D52" t="s">
        <v>25</v>
      </c>
    </row>
    <row r="53" spans="1:4" x14ac:dyDescent="0.2">
      <c r="A53" t="s">
        <v>51</v>
      </c>
      <c r="B53" t="s">
        <v>52</v>
      </c>
      <c r="C53">
        <v>-14.69186</v>
      </c>
      <c r="D53" t="s">
        <v>25</v>
      </c>
    </row>
    <row r="54" spans="1:4" x14ac:dyDescent="0.2">
      <c r="A54" t="s">
        <v>53</v>
      </c>
      <c r="B54" t="s">
        <v>54</v>
      </c>
      <c r="C54">
        <v>758.23494000000005</v>
      </c>
      <c r="D54" t="s">
        <v>25</v>
      </c>
    </row>
    <row r="55" spans="1:4" x14ac:dyDescent="0.2">
      <c r="A55" t="s">
        <v>55</v>
      </c>
      <c r="B55" t="s">
        <v>56</v>
      </c>
      <c r="C55">
        <v>11.75137</v>
      </c>
      <c r="D55" t="s">
        <v>25</v>
      </c>
    </row>
    <row r="56" spans="1:4" x14ac:dyDescent="0.2">
      <c r="A56" t="s">
        <v>57</v>
      </c>
      <c r="B56" t="s">
        <v>58</v>
      </c>
      <c r="C56">
        <v>6.8339999999999998E-2</v>
      </c>
      <c r="D56" t="s">
        <v>46</v>
      </c>
    </row>
    <row r="57" spans="1:4" x14ac:dyDescent="0.2">
      <c r="A57" t="s">
        <v>59</v>
      </c>
      <c r="B57" t="s">
        <v>60</v>
      </c>
      <c r="C57">
        <v>5.75976</v>
      </c>
      <c r="D57" t="s">
        <v>25</v>
      </c>
    </row>
    <row r="59" spans="1:4" x14ac:dyDescent="0.2">
      <c r="A59" t="s">
        <v>61</v>
      </c>
      <c r="B59" t="s">
        <v>56</v>
      </c>
    </row>
    <row r="60" spans="1:4" x14ac:dyDescent="0.2">
      <c r="A60" t="s">
        <v>62</v>
      </c>
      <c r="B60" t="s">
        <v>63</v>
      </c>
      <c r="C60" t="s">
        <v>64</v>
      </c>
      <c r="D60" t="s">
        <v>65</v>
      </c>
    </row>
    <row r="61" spans="1:4" x14ac:dyDescent="0.2">
      <c r="A61" t="s">
        <v>25</v>
      </c>
      <c r="B61" t="s">
        <v>25</v>
      </c>
      <c r="C61" t="s">
        <v>31</v>
      </c>
      <c r="D61" t="s">
        <v>36</v>
      </c>
    </row>
    <row r="62" spans="1:4" x14ac:dyDescent="0.2">
      <c r="A62" t="s">
        <v>66</v>
      </c>
      <c r="B62">
        <v>2</v>
      </c>
      <c r="C62">
        <v>1866717</v>
      </c>
      <c r="D62">
        <v>0.53080000000000005</v>
      </c>
    </row>
    <row r="63" spans="1:4" x14ac:dyDescent="0.2">
      <c r="A63" t="s">
        <v>67</v>
      </c>
      <c r="B63">
        <v>4</v>
      </c>
      <c r="C63">
        <v>12570061</v>
      </c>
      <c r="D63">
        <v>3.5745</v>
      </c>
    </row>
    <row r="64" spans="1:4" x14ac:dyDescent="0.2">
      <c r="A64" t="s">
        <v>68</v>
      </c>
      <c r="B64">
        <v>6</v>
      </c>
      <c r="C64">
        <v>22962129</v>
      </c>
      <c r="D64">
        <v>6.5296000000000003</v>
      </c>
    </row>
    <row r="65" spans="1:4" x14ac:dyDescent="0.2">
      <c r="A65" t="s">
        <v>69</v>
      </c>
      <c r="B65">
        <v>8</v>
      </c>
      <c r="C65">
        <v>50732646</v>
      </c>
      <c r="D65">
        <v>14.426399999999999</v>
      </c>
    </row>
    <row r="66" spans="1:4" x14ac:dyDescent="0.2">
      <c r="A66" t="s">
        <v>70</v>
      </c>
      <c r="B66">
        <v>10</v>
      </c>
      <c r="C66">
        <v>66294463</v>
      </c>
      <c r="D66">
        <v>18.851600000000001</v>
      </c>
    </row>
    <row r="67" spans="1:4" x14ac:dyDescent="0.2">
      <c r="A67" t="s">
        <v>71</v>
      </c>
      <c r="B67">
        <v>12</v>
      </c>
      <c r="C67">
        <v>62359108</v>
      </c>
      <c r="D67">
        <v>17.732600000000001</v>
      </c>
    </row>
    <row r="68" spans="1:4" x14ac:dyDescent="0.2">
      <c r="A68" t="s">
        <v>72</v>
      </c>
      <c r="B68">
        <v>14</v>
      </c>
      <c r="C68">
        <v>62965078</v>
      </c>
      <c r="D68">
        <v>17.904900000000001</v>
      </c>
    </row>
    <row r="69" spans="1:4" x14ac:dyDescent="0.2">
      <c r="A69" t="s">
        <v>73</v>
      </c>
      <c r="B69">
        <v>16</v>
      </c>
      <c r="C69">
        <v>40863931</v>
      </c>
      <c r="D69">
        <v>11.620200000000001</v>
      </c>
    </row>
    <row r="70" spans="1:4" x14ac:dyDescent="0.2">
      <c r="A70" t="s">
        <v>74</v>
      </c>
      <c r="B70">
        <v>18</v>
      </c>
      <c r="C70">
        <v>20076302</v>
      </c>
      <c r="D70">
        <v>5.7088999999999999</v>
      </c>
    </row>
    <row r="71" spans="1:4" x14ac:dyDescent="0.2">
      <c r="A71" t="s">
        <v>75</v>
      </c>
      <c r="B71">
        <v>20</v>
      </c>
      <c r="C71">
        <v>7922046</v>
      </c>
      <c r="D71">
        <v>2.2526999999999999</v>
      </c>
    </row>
    <row r="72" spans="1:4" x14ac:dyDescent="0.2">
      <c r="A72" t="s">
        <v>76</v>
      </c>
      <c r="B72">
        <v>22</v>
      </c>
      <c r="C72">
        <v>2465772</v>
      </c>
      <c r="D72">
        <v>0.70120000000000005</v>
      </c>
    </row>
    <row r="73" spans="1:4" x14ac:dyDescent="0.2">
      <c r="A73" t="s">
        <v>80</v>
      </c>
      <c r="B73">
        <v>24</v>
      </c>
      <c r="C73">
        <v>497593</v>
      </c>
      <c r="D73">
        <v>0.14149999999999999</v>
      </c>
    </row>
    <row r="74" spans="1:4" x14ac:dyDescent="0.2">
      <c r="A74" t="s">
        <v>81</v>
      </c>
      <c r="B74">
        <v>26</v>
      </c>
      <c r="C74">
        <v>88286</v>
      </c>
      <c r="D74">
        <v>2.5100000000000001E-2</v>
      </c>
    </row>
    <row r="75" spans="1:4" x14ac:dyDescent="0.2">
      <c r="A75" t="s">
        <v>77</v>
      </c>
      <c r="B75" t="s">
        <v>78</v>
      </c>
      <c r="C75">
        <v>3.8982199999999998</v>
      </c>
      <c r="D75" t="s">
        <v>25</v>
      </c>
    </row>
    <row r="77" spans="1:4" x14ac:dyDescent="0.2">
      <c r="A77" t="s">
        <v>79</v>
      </c>
      <c r="B77" t="s">
        <v>60</v>
      </c>
    </row>
    <row r="78" spans="1:4" x14ac:dyDescent="0.2">
      <c r="A78" t="s">
        <v>62</v>
      </c>
      <c r="B78" t="s">
        <v>63</v>
      </c>
      <c r="C78" t="s">
        <v>64</v>
      </c>
      <c r="D78" t="s">
        <v>65</v>
      </c>
    </row>
    <row r="79" spans="1:4" x14ac:dyDescent="0.2">
      <c r="A79" t="s">
        <v>25</v>
      </c>
      <c r="B79" t="s">
        <v>25</v>
      </c>
      <c r="C79" t="s">
        <v>31</v>
      </c>
      <c r="D79" t="s">
        <v>36</v>
      </c>
    </row>
    <row r="80" spans="1:4" x14ac:dyDescent="0.2">
      <c r="A80" t="s">
        <v>66</v>
      </c>
      <c r="B80">
        <v>2</v>
      </c>
      <c r="C80">
        <v>10820914</v>
      </c>
      <c r="D80">
        <v>12.236800000000001</v>
      </c>
    </row>
    <row r="81" spans="1:4" x14ac:dyDescent="0.2">
      <c r="A81" t="s">
        <v>67</v>
      </c>
      <c r="B81">
        <v>4</v>
      </c>
      <c r="C81">
        <v>31989934</v>
      </c>
      <c r="D81">
        <v>36.175600000000003</v>
      </c>
    </row>
    <row r="82" spans="1:4" x14ac:dyDescent="0.2">
      <c r="A82" t="s">
        <v>68</v>
      </c>
      <c r="B82">
        <v>6</v>
      </c>
      <c r="C82">
        <v>22127114</v>
      </c>
      <c r="D82">
        <v>25.022300000000001</v>
      </c>
    </row>
    <row r="83" spans="1:4" x14ac:dyDescent="0.2">
      <c r="A83" t="s">
        <v>69</v>
      </c>
      <c r="B83">
        <v>8</v>
      </c>
      <c r="C83">
        <v>14004250</v>
      </c>
      <c r="D83">
        <v>15.836600000000001</v>
      </c>
    </row>
    <row r="84" spans="1:4" x14ac:dyDescent="0.2">
      <c r="A84" t="s">
        <v>70</v>
      </c>
      <c r="B84">
        <v>10</v>
      </c>
      <c r="C84">
        <v>5384468</v>
      </c>
      <c r="D84">
        <v>6.0890000000000004</v>
      </c>
    </row>
    <row r="85" spans="1:4" x14ac:dyDescent="0.2">
      <c r="A85" t="s">
        <v>71</v>
      </c>
      <c r="B85">
        <v>12</v>
      </c>
      <c r="C85">
        <v>1974501</v>
      </c>
      <c r="D85">
        <v>2.2328999999999999</v>
      </c>
    </row>
    <row r="86" spans="1:4" x14ac:dyDescent="0.2">
      <c r="A86" t="s">
        <v>72</v>
      </c>
      <c r="B86">
        <v>14</v>
      </c>
      <c r="C86">
        <v>964003</v>
      </c>
      <c r="D86">
        <v>1.0901000000000001</v>
      </c>
    </row>
    <row r="87" spans="1:4" x14ac:dyDescent="0.2">
      <c r="A87" t="s">
        <v>73</v>
      </c>
      <c r="B87">
        <v>16</v>
      </c>
      <c r="C87">
        <v>350146</v>
      </c>
      <c r="D87">
        <v>0.39600000000000002</v>
      </c>
    </row>
    <row r="88" spans="1:4" x14ac:dyDescent="0.2">
      <c r="A88" t="s">
        <v>74</v>
      </c>
      <c r="B88">
        <v>18</v>
      </c>
      <c r="C88">
        <v>228219</v>
      </c>
      <c r="D88">
        <v>0.2581</v>
      </c>
    </row>
    <row r="89" spans="1:4" x14ac:dyDescent="0.2">
      <c r="A89" t="s">
        <v>75</v>
      </c>
      <c r="B89">
        <v>20</v>
      </c>
      <c r="C89">
        <v>168067</v>
      </c>
      <c r="D89">
        <v>0.19009999999999999</v>
      </c>
    </row>
    <row r="90" spans="1:4" x14ac:dyDescent="0.2">
      <c r="A90" t="s">
        <v>76</v>
      </c>
      <c r="B90">
        <v>22</v>
      </c>
      <c r="C90">
        <v>168679</v>
      </c>
      <c r="D90">
        <v>0.19070000000000001</v>
      </c>
    </row>
    <row r="91" spans="1:4" x14ac:dyDescent="0.2">
      <c r="A91" t="s">
        <v>80</v>
      </c>
      <c r="B91">
        <v>24</v>
      </c>
      <c r="C91">
        <v>78972</v>
      </c>
      <c r="D91">
        <v>8.9300000000000004E-2</v>
      </c>
    </row>
    <row r="92" spans="1:4" x14ac:dyDescent="0.2">
      <c r="A92" t="s">
        <v>81</v>
      </c>
      <c r="B92">
        <v>26</v>
      </c>
      <c r="C92">
        <v>27851</v>
      </c>
      <c r="D92">
        <v>3.15E-2</v>
      </c>
    </row>
    <row r="93" spans="1:4" x14ac:dyDescent="0.2">
      <c r="A93" t="s">
        <v>82</v>
      </c>
      <c r="B93">
        <v>28</v>
      </c>
      <c r="C93">
        <v>25831</v>
      </c>
      <c r="D93">
        <v>2.92E-2</v>
      </c>
    </row>
    <row r="94" spans="1:4" x14ac:dyDescent="0.2">
      <c r="A94" t="s">
        <v>83</v>
      </c>
      <c r="B94">
        <v>30</v>
      </c>
      <c r="C94">
        <v>36310</v>
      </c>
      <c r="D94">
        <v>4.1099999999999998E-2</v>
      </c>
    </row>
    <row r="95" spans="1:4" x14ac:dyDescent="0.2">
      <c r="A95" t="s">
        <v>84</v>
      </c>
      <c r="B95">
        <v>32</v>
      </c>
      <c r="C95">
        <v>48025</v>
      </c>
      <c r="D95">
        <v>5.4300000000000001E-2</v>
      </c>
    </row>
    <row r="96" spans="1:4" x14ac:dyDescent="0.2">
      <c r="A96" t="s">
        <v>85</v>
      </c>
      <c r="B96">
        <v>34</v>
      </c>
      <c r="C96">
        <v>5289</v>
      </c>
      <c r="D96">
        <v>6.0000000000000001E-3</v>
      </c>
    </row>
    <row r="97" spans="1:4" x14ac:dyDescent="0.2">
      <c r="A97" t="s">
        <v>86</v>
      </c>
      <c r="B97">
        <v>36</v>
      </c>
      <c r="C97">
        <v>26900</v>
      </c>
      <c r="D97">
        <v>3.04E-2</v>
      </c>
    </row>
    <row r="98" spans="1:4" x14ac:dyDescent="0.2">
      <c r="A98" t="s">
        <v>87</v>
      </c>
      <c r="B98" t="s">
        <v>88</v>
      </c>
      <c r="C98">
        <v>3.09287</v>
      </c>
      <c r="D98" t="s">
        <v>25</v>
      </c>
    </row>
    <row r="103" spans="1:4" x14ac:dyDescent="0.2">
      <c r="A103" t="s">
        <v>0</v>
      </c>
    </row>
    <row r="104" spans="1:4" x14ac:dyDescent="0.2">
      <c r="A104" t="s">
        <v>95</v>
      </c>
    </row>
    <row r="106" spans="1:4" x14ac:dyDescent="0.2">
      <c r="A106" t="s">
        <v>96</v>
      </c>
    </row>
    <row r="108" spans="1:4" x14ac:dyDescent="0.2">
      <c r="A108" t="s">
        <v>97</v>
      </c>
    </row>
    <row r="110" spans="1:4" x14ac:dyDescent="0.2">
      <c r="A110" t="s">
        <v>7</v>
      </c>
      <c r="B110" t="s">
        <v>98</v>
      </c>
    </row>
    <row r="111" spans="1:4" x14ac:dyDescent="0.2">
      <c r="A111" t="s">
        <v>8</v>
      </c>
      <c r="B111" t="s">
        <v>9</v>
      </c>
    </row>
    <row r="112" spans="1:4" x14ac:dyDescent="0.2">
      <c r="A112" t="s">
        <v>10</v>
      </c>
      <c r="B112" t="s">
        <v>11</v>
      </c>
    </row>
    <row r="113" spans="1:4" x14ac:dyDescent="0.2">
      <c r="A113" t="s">
        <v>12</v>
      </c>
      <c r="B113" s="1">
        <v>3.0208333333333333E-3</v>
      </c>
    </row>
    <row r="114" spans="1:4" x14ac:dyDescent="0.2">
      <c r="A114" t="s">
        <v>13</v>
      </c>
      <c r="B114" t="s">
        <v>14</v>
      </c>
    </row>
    <row r="115" spans="1:4" x14ac:dyDescent="0.2">
      <c r="A115" t="s">
        <v>15</v>
      </c>
      <c r="B115" t="s">
        <v>16</v>
      </c>
    </row>
    <row r="117" spans="1:4" x14ac:dyDescent="0.2">
      <c r="A117" t="s">
        <v>17</v>
      </c>
    </row>
    <row r="118" spans="1:4" x14ac:dyDescent="0.2">
      <c r="A118" t="s">
        <v>18</v>
      </c>
    </row>
    <row r="119" spans="1:4" x14ac:dyDescent="0.2">
      <c r="A119" t="s">
        <v>19</v>
      </c>
      <c r="B119" t="s">
        <v>20</v>
      </c>
      <c r="C119" t="s">
        <v>21</v>
      </c>
      <c r="D119" t="s">
        <v>22</v>
      </c>
    </row>
    <row r="121" spans="1:4" x14ac:dyDescent="0.2">
      <c r="A121" t="s">
        <v>23</v>
      </c>
      <c r="C121">
        <v>301</v>
      </c>
    </row>
    <row r="122" spans="1:4" x14ac:dyDescent="0.2">
      <c r="A122" t="s">
        <v>24</v>
      </c>
      <c r="C122">
        <v>606</v>
      </c>
      <c r="D122" t="s">
        <v>25</v>
      </c>
    </row>
    <row r="123" spans="1:4" x14ac:dyDescent="0.2">
      <c r="A123" t="s">
        <v>26</v>
      </c>
      <c r="C123">
        <v>906</v>
      </c>
      <c r="D123" t="s">
        <v>25</v>
      </c>
    </row>
    <row r="124" spans="1:4" x14ac:dyDescent="0.2">
      <c r="A124" t="s">
        <v>27</v>
      </c>
      <c r="C124">
        <v>12.000909999999999</v>
      </c>
      <c r="D124" t="s">
        <v>28</v>
      </c>
    </row>
    <row r="125" spans="1:4" x14ac:dyDescent="0.2">
      <c r="A125" t="s">
        <v>5</v>
      </c>
      <c r="C125">
        <v>26</v>
      </c>
    </row>
    <row r="126" spans="1:4" x14ac:dyDescent="0.2">
      <c r="A126" t="s">
        <v>6</v>
      </c>
      <c r="C126">
        <v>78</v>
      </c>
    </row>
    <row r="128" spans="1:4" x14ac:dyDescent="0.2">
      <c r="A128" t="s">
        <v>29</v>
      </c>
      <c r="B128" t="s">
        <v>30</v>
      </c>
      <c r="C128">
        <v>440092490.16667002</v>
      </c>
      <c r="D128" t="s">
        <v>31</v>
      </c>
    </row>
    <row r="129" spans="1:4" x14ac:dyDescent="0.2">
      <c r="A129" t="s">
        <v>32</v>
      </c>
      <c r="B129" t="s">
        <v>33</v>
      </c>
      <c r="C129">
        <v>353456594.40416002</v>
      </c>
      <c r="D129" t="s">
        <v>31</v>
      </c>
    </row>
    <row r="130" spans="1:4" x14ac:dyDescent="0.2">
      <c r="A130" t="s">
        <v>34</v>
      </c>
      <c r="B130" t="s">
        <v>35</v>
      </c>
      <c r="C130">
        <v>80.314160000000001</v>
      </c>
      <c r="D130" t="s">
        <v>36</v>
      </c>
    </row>
    <row r="131" spans="1:4" x14ac:dyDescent="0.2">
      <c r="A131" t="s">
        <v>37</v>
      </c>
      <c r="B131" t="s">
        <v>38</v>
      </c>
      <c r="C131">
        <v>4282786.5172199998</v>
      </c>
      <c r="D131" t="s">
        <v>39</v>
      </c>
    </row>
    <row r="132" spans="1:4" x14ac:dyDescent="0.2">
      <c r="A132" t="s">
        <v>40</v>
      </c>
      <c r="B132" t="s">
        <v>41</v>
      </c>
      <c r="C132">
        <v>67874590.421959996</v>
      </c>
      <c r="D132" t="s">
        <v>39</v>
      </c>
    </row>
    <row r="133" spans="1:4" x14ac:dyDescent="0.2">
      <c r="A133" t="s">
        <v>42</v>
      </c>
      <c r="B133" t="s">
        <v>43</v>
      </c>
      <c r="C133">
        <v>2180364.52587</v>
      </c>
      <c r="D133" t="s">
        <v>39</v>
      </c>
    </row>
    <row r="134" spans="1:4" x14ac:dyDescent="0.2">
      <c r="A134" t="s">
        <v>44</v>
      </c>
      <c r="B134" t="s">
        <v>45</v>
      </c>
      <c r="C134">
        <v>0.19203000000000001</v>
      </c>
      <c r="D134" t="s">
        <v>46</v>
      </c>
    </row>
    <row r="135" spans="1:4" x14ac:dyDescent="0.2">
      <c r="A135" t="s">
        <v>47</v>
      </c>
      <c r="B135" t="s">
        <v>48</v>
      </c>
      <c r="C135">
        <v>0.15423000000000001</v>
      </c>
      <c r="D135" t="s">
        <v>46</v>
      </c>
    </row>
    <row r="136" spans="1:4" x14ac:dyDescent="0.2">
      <c r="A136" t="s">
        <v>49</v>
      </c>
      <c r="B136" t="s">
        <v>50</v>
      </c>
      <c r="C136">
        <v>-4.6855599999999997</v>
      </c>
      <c r="D136" t="s">
        <v>25</v>
      </c>
    </row>
    <row r="137" spans="1:4" x14ac:dyDescent="0.2">
      <c r="A137" t="s">
        <v>51</v>
      </c>
      <c r="B137" t="s">
        <v>52</v>
      </c>
      <c r="C137">
        <v>-14.69186</v>
      </c>
      <c r="D137" t="s">
        <v>25</v>
      </c>
    </row>
    <row r="138" spans="1:4" x14ac:dyDescent="0.2">
      <c r="A138" t="s">
        <v>53</v>
      </c>
      <c r="B138" t="s">
        <v>54</v>
      </c>
      <c r="C138">
        <v>758.23494000000005</v>
      </c>
      <c r="D138" t="s">
        <v>25</v>
      </c>
    </row>
    <row r="139" spans="1:4" x14ac:dyDescent="0.2">
      <c r="A139" t="s">
        <v>55</v>
      </c>
      <c r="B139" t="s">
        <v>56</v>
      </c>
      <c r="C139">
        <v>11.75137</v>
      </c>
      <c r="D139" t="s">
        <v>25</v>
      </c>
    </row>
    <row r="140" spans="1:4" x14ac:dyDescent="0.2">
      <c r="A140" t="s">
        <v>57</v>
      </c>
      <c r="B140" t="s">
        <v>58</v>
      </c>
      <c r="C140">
        <v>6.8339999999999998E-2</v>
      </c>
      <c r="D140" t="s">
        <v>46</v>
      </c>
    </row>
    <row r="141" spans="1:4" x14ac:dyDescent="0.2">
      <c r="A141" t="s">
        <v>59</v>
      </c>
      <c r="B141" t="s">
        <v>60</v>
      </c>
      <c r="C141">
        <v>5.75976</v>
      </c>
      <c r="D141" t="s">
        <v>25</v>
      </c>
    </row>
    <row r="143" spans="1:4" x14ac:dyDescent="0.2">
      <c r="A143" t="s">
        <v>61</v>
      </c>
      <c r="B143" t="s">
        <v>56</v>
      </c>
    </row>
    <row r="144" spans="1:4" x14ac:dyDescent="0.2">
      <c r="A144" t="s">
        <v>62</v>
      </c>
      <c r="B144" t="s">
        <v>63</v>
      </c>
      <c r="C144" t="s">
        <v>64</v>
      </c>
      <c r="D144" t="s">
        <v>65</v>
      </c>
    </row>
    <row r="145" spans="1:4" x14ac:dyDescent="0.2">
      <c r="A145" t="s">
        <v>25</v>
      </c>
      <c r="B145" t="s">
        <v>25</v>
      </c>
      <c r="C145" t="s">
        <v>31</v>
      </c>
      <c r="D145" t="s">
        <v>36</v>
      </c>
    </row>
    <row r="146" spans="1:4" x14ac:dyDescent="0.2">
      <c r="A146" t="s">
        <v>66</v>
      </c>
      <c r="B146">
        <v>2</v>
      </c>
      <c r="C146">
        <v>1866716</v>
      </c>
      <c r="D146">
        <v>0.53080000000000005</v>
      </c>
    </row>
    <row r="147" spans="1:4" x14ac:dyDescent="0.2">
      <c r="A147" t="s">
        <v>67</v>
      </c>
      <c r="B147">
        <v>4</v>
      </c>
      <c r="C147">
        <v>12570063</v>
      </c>
      <c r="D147">
        <v>3.5745</v>
      </c>
    </row>
    <row r="148" spans="1:4" x14ac:dyDescent="0.2">
      <c r="A148" t="s">
        <v>68</v>
      </c>
      <c r="B148">
        <v>6</v>
      </c>
      <c r="C148">
        <v>22962177</v>
      </c>
      <c r="D148">
        <v>6.5296000000000003</v>
      </c>
    </row>
    <row r="149" spans="1:4" x14ac:dyDescent="0.2">
      <c r="A149" t="s">
        <v>69</v>
      </c>
      <c r="B149">
        <v>8</v>
      </c>
      <c r="C149">
        <v>50732604</v>
      </c>
      <c r="D149">
        <v>14.426399999999999</v>
      </c>
    </row>
    <row r="150" spans="1:4" x14ac:dyDescent="0.2">
      <c r="A150" t="s">
        <v>70</v>
      </c>
      <c r="B150">
        <v>10</v>
      </c>
      <c r="C150">
        <v>66294449</v>
      </c>
      <c r="D150">
        <v>18.851600000000001</v>
      </c>
    </row>
    <row r="151" spans="1:4" x14ac:dyDescent="0.2">
      <c r="A151" t="s">
        <v>71</v>
      </c>
      <c r="B151">
        <v>12</v>
      </c>
      <c r="C151">
        <v>62359136</v>
      </c>
      <c r="D151">
        <v>17.732600000000001</v>
      </c>
    </row>
    <row r="152" spans="1:4" x14ac:dyDescent="0.2">
      <c r="A152" t="s">
        <v>72</v>
      </c>
      <c r="B152">
        <v>14</v>
      </c>
      <c r="C152">
        <v>62965058</v>
      </c>
      <c r="D152">
        <v>17.904900000000001</v>
      </c>
    </row>
    <row r="153" spans="1:4" x14ac:dyDescent="0.2">
      <c r="A153" t="s">
        <v>73</v>
      </c>
      <c r="B153">
        <v>16</v>
      </c>
      <c r="C153">
        <v>40863919</v>
      </c>
      <c r="D153">
        <v>11.620200000000001</v>
      </c>
    </row>
    <row r="154" spans="1:4" x14ac:dyDescent="0.2">
      <c r="A154" t="s">
        <v>74</v>
      </c>
      <c r="B154">
        <v>18</v>
      </c>
      <c r="C154">
        <v>20076318</v>
      </c>
      <c r="D154">
        <v>5.7088999999999999</v>
      </c>
    </row>
    <row r="155" spans="1:4" x14ac:dyDescent="0.2">
      <c r="A155" t="s">
        <v>75</v>
      </c>
      <c r="B155">
        <v>20</v>
      </c>
      <c r="C155">
        <v>7922035</v>
      </c>
      <c r="D155">
        <v>2.2526999999999999</v>
      </c>
    </row>
    <row r="156" spans="1:4" x14ac:dyDescent="0.2">
      <c r="A156" t="s">
        <v>76</v>
      </c>
      <c r="B156">
        <v>22</v>
      </c>
      <c r="C156">
        <v>2465778</v>
      </c>
      <c r="D156">
        <v>0.70120000000000005</v>
      </c>
    </row>
    <row r="157" spans="1:4" x14ac:dyDescent="0.2">
      <c r="A157" t="s">
        <v>80</v>
      </c>
      <c r="B157">
        <v>24</v>
      </c>
      <c r="C157">
        <v>497593</v>
      </c>
      <c r="D157">
        <v>0.14149999999999999</v>
      </c>
    </row>
    <row r="158" spans="1:4" x14ac:dyDescent="0.2">
      <c r="A158" t="s">
        <v>81</v>
      </c>
      <c r="B158">
        <v>26</v>
      </c>
      <c r="C158">
        <v>88286</v>
      </c>
      <c r="D158">
        <v>2.5100000000000001E-2</v>
      </c>
    </row>
    <row r="159" spans="1:4" x14ac:dyDescent="0.2">
      <c r="A159" t="s">
        <v>77</v>
      </c>
      <c r="B159" t="s">
        <v>78</v>
      </c>
      <c r="C159">
        <v>3.8982199999999998</v>
      </c>
      <c r="D159" t="s">
        <v>25</v>
      </c>
    </row>
    <row r="161" spans="1:4" x14ac:dyDescent="0.2">
      <c r="A161" t="s">
        <v>79</v>
      </c>
      <c r="B161" t="s">
        <v>60</v>
      </c>
    </row>
    <row r="162" spans="1:4" x14ac:dyDescent="0.2">
      <c r="A162" t="s">
        <v>62</v>
      </c>
      <c r="B162" t="s">
        <v>63</v>
      </c>
      <c r="C162" t="s">
        <v>64</v>
      </c>
      <c r="D162" t="s">
        <v>65</v>
      </c>
    </row>
    <row r="163" spans="1:4" x14ac:dyDescent="0.2">
      <c r="A163" t="s">
        <v>25</v>
      </c>
      <c r="B163" t="s">
        <v>25</v>
      </c>
      <c r="C163" t="s">
        <v>31</v>
      </c>
      <c r="D163" t="s">
        <v>36</v>
      </c>
    </row>
    <row r="164" spans="1:4" x14ac:dyDescent="0.2">
      <c r="A164" t="s">
        <v>66</v>
      </c>
      <c r="B164">
        <v>2</v>
      </c>
      <c r="C164">
        <v>10820919</v>
      </c>
      <c r="D164">
        <v>12.236800000000001</v>
      </c>
    </row>
    <row r="165" spans="1:4" x14ac:dyDescent="0.2">
      <c r="A165" t="s">
        <v>67</v>
      </c>
      <c r="B165">
        <v>4</v>
      </c>
      <c r="C165">
        <v>31989928</v>
      </c>
      <c r="D165">
        <v>36.175600000000003</v>
      </c>
    </row>
    <row r="166" spans="1:4" x14ac:dyDescent="0.2">
      <c r="A166" t="s">
        <v>68</v>
      </c>
      <c r="B166">
        <v>6</v>
      </c>
      <c r="C166">
        <v>22127129</v>
      </c>
      <c r="D166">
        <v>25.022300000000001</v>
      </c>
    </row>
    <row r="167" spans="1:4" x14ac:dyDescent="0.2">
      <c r="A167" t="s">
        <v>69</v>
      </c>
      <c r="B167">
        <v>8</v>
      </c>
      <c r="C167">
        <v>14004227</v>
      </c>
      <c r="D167">
        <v>15.836600000000001</v>
      </c>
    </row>
    <row r="168" spans="1:4" x14ac:dyDescent="0.2">
      <c r="A168" t="s">
        <v>70</v>
      </c>
      <c r="B168">
        <v>10</v>
      </c>
      <c r="C168">
        <v>5384478</v>
      </c>
      <c r="D168">
        <v>6.0890000000000004</v>
      </c>
    </row>
    <row r="169" spans="1:4" x14ac:dyDescent="0.2">
      <c r="A169" t="s">
        <v>71</v>
      </c>
      <c r="B169">
        <v>12</v>
      </c>
      <c r="C169">
        <v>1974499</v>
      </c>
      <c r="D169">
        <v>2.2328999999999999</v>
      </c>
    </row>
    <row r="170" spans="1:4" x14ac:dyDescent="0.2">
      <c r="A170" t="s">
        <v>72</v>
      </c>
      <c r="B170">
        <v>14</v>
      </c>
      <c r="C170">
        <v>964004</v>
      </c>
      <c r="D170">
        <v>1.0901000000000001</v>
      </c>
    </row>
    <row r="171" spans="1:4" x14ac:dyDescent="0.2">
      <c r="A171" t="s">
        <v>73</v>
      </c>
      <c r="B171">
        <v>16</v>
      </c>
      <c r="C171">
        <v>350144</v>
      </c>
      <c r="D171">
        <v>0.39600000000000002</v>
      </c>
    </row>
    <row r="172" spans="1:4" x14ac:dyDescent="0.2">
      <c r="A172" t="s">
        <v>74</v>
      </c>
      <c r="B172">
        <v>18</v>
      </c>
      <c r="C172">
        <v>228229</v>
      </c>
      <c r="D172">
        <v>0.2581</v>
      </c>
    </row>
    <row r="173" spans="1:4" x14ac:dyDescent="0.2">
      <c r="A173" t="s">
        <v>75</v>
      </c>
      <c r="B173">
        <v>20</v>
      </c>
      <c r="C173">
        <v>168059</v>
      </c>
      <c r="D173">
        <v>0.19</v>
      </c>
    </row>
    <row r="174" spans="1:4" x14ac:dyDescent="0.2">
      <c r="A174" t="s">
        <v>76</v>
      </c>
      <c r="B174">
        <v>22</v>
      </c>
      <c r="C174">
        <v>168679</v>
      </c>
      <c r="D174">
        <v>0.19070000000000001</v>
      </c>
    </row>
    <row r="175" spans="1:4" x14ac:dyDescent="0.2">
      <c r="A175" t="s">
        <v>80</v>
      </c>
      <c r="B175">
        <v>24</v>
      </c>
      <c r="C175">
        <v>78969</v>
      </c>
      <c r="D175">
        <v>8.9300000000000004E-2</v>
      </c>
    </row>
    <row r="176" spans="1:4" x14ac:dyDescent="0.2">
      <c r="A176" t="s">
        <v>81</v>
      </c>
      <c r="B176">
        <v>26</v>
      </c>
      <c r="C176">
        <v>27854</v>
      </c>
      <c r="D176">
        <v>3.15E-2</v>
      </c>
    </row>
    <row r="177" spans="1:4" x14ac:dyDescent="0.2">
      <c r="A177" t="s">
        <v>82</v>
      </c>
      <c r="B177">
        <v>28</v>
      </c>
      <c r="C177">
        <v>25831</v>
      </c>
      <c r="D177">
        <v>2.92E-2</v>
      </c>
    </row>
    <row r="178" spans="1:4" x14ac:dyDescent="0.2">
      <c r="A178" t="s">
        <v>83</v>
      </c>
      <c r="B178">
        <v>30</v>
      </c>
      <c r="C178">
        <v>36310</v>
      </c>
      <c r="D178">
        <v>4.1099999999999998E-2</v>
      </c>
    </row>
    <row r="179" spans="1:4" x14ac:dyDescent="0.2">
      <c r="A179" t="s">
        <v>84</v>
      </c>
      <c r="B179">
        <v>32</v>
      </c>
      <c r="C179">
        <v>48024</v>
      </c>
      <c r="D179">
        <v>5.4300000000000001E-2</v>
      </c>
    </row>
    <row r="180" spans="1:4" x14ac:dyDescent="0.2">
      <c r="A180" t="s">
        <v>85</v>
      </c>
      <c r="B180">
        <v>34</v>
      </c>
      <c r="C180">
        <v>5290</v>
      </c>
      <c r="D180">
        <v>6.0000000000000001E-3</v>
      </c>
    </row>
    <row r="181" spans="1:4" x14ac:dyDescent="0.2">
      <c r="A181" t="s">
        <v>86</v>
      </c>
      <c r="B181">
        <v>36</v>
      </c>
      <c r="C181">
        <v>26900</v>
      </c>
      <c r="D181">
        <v>3.04E-2</v>
      </c>
    </row>
    <row r="182" spans="1:4" x14ac:dyDescent="0.2">
      <c r="A182" t="s">
        <v>87</v>
      </c>
      <c r="B182" t="s">
        <v>88</v>
      </c>
      <c r="C182">
        <v>3.09287</v>
      </c>
      <c r="D182" t="s">
        <v>25</v>
      </c>
    </row>
    <row r="186" spans="1:4" x14ac:dyDescent="0.2">
      <c r="A186" s="4" t="s">
        <v>219</v>
      </c>
    </row>
    <row r="187" spans="1:4" x14ac:dyDescent="0.2">
      <c r="A187" t="s">
        <v>0</v>
      </c>
    </row>
    <row r="188" spans="1:4" x14ac:dyDescent="0.2">
      <c r="A188" t="s">
        <v>99</v>
      </c>
    </row>
    <row r="189" spans="1:4" x14ac:dyDescent="0.2">
      <c r="A189" t="s">
        <v>100</v>
      </c>
    </row>
    <row r="190" spans="1:4" x14ac:dyDescent="0.2">
      <c r="A190" t="s">
        <v>101</v>
      </c>
    </row>
    <row r="192" spans="1:4" x14ac:dyDescent="0.2">
      <c r="A192" t="s">
        <v>0</v>
      </c>
    </row>
    <row r="193" spans="1:1" x14ac:dyDescent="0.2">
      <c r="A193" t="s">
        <v>102</v>
      </c>
    </row>
    <row r="194" spans="1:1" x14ac:dyDescent="0.2">
      <c r="A194" t="s">
        <v>103</v>
      </c>
    </row>
    <row r="195" spans="1:1" x14ac:dyDescent="0.2">
      <c r="A195" t="s">
        <v>104</v>
      </c>
    </row>
    <row r="196" spans="1:1" x14ac:dyDescent="0.2">
      <c r="A196" t="s">
        <v>105</v>
      </c>
    </row>
    <row r="198" spans="1:1" x14ac:dyDescent="0.2">
      <c r="A198" t="s">
        <v>0</v>
      </c>
    </row>
    <row r="199" spans="1:1" x14ac:dyDescent="0.2">
      <c r="A199" t="s">
        <v>106</v>
      </c>
    </row>
    <row r="200" spans="1:1" x14ac:dyDescent="0.2">
      <c r="A200" t="s">
        <v>107</v>
      </c>
    </row>
    <row r="202" spans="1:1" x14ac:dyDescent="0.2">
      <c r="A202" t="s">
        <v>0</v>
      </c>
    </row>
    <row r="203" spans="1:1" x14ac:dyDescent="0.2">
      <c r="A203" t="s">
        <v>108</v>
      </c>
    </row>
    <row r="204" spans="1:1" x14ac:dyDescent="0.2">
      <c r="A204" t="s">
        <v>109</v>
      </c>
    </row>
    <row r="205" spans="1:1" x14ac:dyDescent="0.2">
      <c r="A205" t="s">
        <v>104</v>
      </c>
    </row>
    <row r="206" spans="1:1" x14ac:dyDescent="0.2">
      <c r="A206" t="s">
        <v>110</v>
      </c>
    </row>
    <row r="208" spans="1:1" x14ac:dyDescent="0.2">
      <c r="A208" t="s">
        <v>0</v>
      </c>
    </row>
    <row r="209" spans="1:2" x14ac:dyDescent="0.2">
      <c r="A209" t="s">
        <v>111</v>
      </c>
    </row>
    <row r="210" spans="1:2" x14ac:dyDescent="0.2">
      <c r="A210" t="s">
        <v>107</v>
      </c>
    </row>
    <row r="212" spans="1:2" x14ac:dyDescent="0.2">
      <c r="A212" t="s">
        <v>0</v>
      </c>
    </row>
    <row r="213" spans="1:2" x14ac:dyDescent="0.2">
      <c r="A213" t="s">
        <v>112</v>
      </c>
    </row>
    <row r="214" spans="1:2" x14ac:dyDescent="0.2">
      <c r="A214" t="s">
        <v>113</v>
      </c>
    </row>
    <row r="215" spans="1:2" x14ac:dyDescent="0.2">
      <c r="A215" t="s">
        <v>114</v>
      </c>
    </row>
    <row r="217" spans="1:2" x14ac:dyDescent="0.2">
      <c r="A217" t="s">
        <v>0</v>
      </c>
    </row>
    <row r="218" spans="1:2" x14ac:dyDescent="0.2">
      <c r="A218" t="s">
        <v>115</v>
      </c>
    </row>
    <row r="220" spans="1:2" x14ac:dyDescent="0.2">
      <c r="A220" t="s">
        <v>7</v>
      </c>
      <c r="B220" t="s">
        <v>116</v>
      </c>
    </row>
    <row r="221" spans="1:2" x14ac:dyDescent="0.2">
      <c r="A221" t="s">
        <v>8</v>
      </c>
      <c r="B221" t="s">
        <v>9</v>
      </c>
    </row>
    <row r="222" spans="1:2" x14ac:dyDescent="0.2">
      <c r="A222" t="s">
        <v>10</v>
      </c>
      <c r="B222" t="s">
        <v>11</v>
      </c>
    </row>
    <row r="223" spans="1:2" x14ac:dyDescent="0.2">
      <c r="A223" t="s">
        <v>12</v>
      </c>
      <c r="B223" s="1">
        <v>8.1018518518518516E-5</v>
      </c>
    </row>
    <row r="224" spans="1:2" x14ac:dyDescent="0.2">
      <c r="A224" t="s">
        <v>13</v>
      </c>
      <c r="B224" t="s">
        <v>14</v>
      </c>
    </row>
    <row r="225" spans="1:5" x14ac:dyDescent="0.2">
      <c r="A225" t="s">
        <v>15</v>
      </c>
      <c r="B225" t="s">
        <v>16</v>
      </c>
    </row>
    <row r="227" spans="1:5" x14ac:dyDescent="0.2">
      <c r="A227" t="s">
        <v>17</v>
      </c>
    </row>
    <row r="228" spans="1:5" x14ac:dyDescent="0.2">
      <c r="A228" t="s">
        <v>18</v>
      </c>
    </row>
    <row r="229" spans="1:5" x14ac:dyDescent="0.2">
      <c r="A229" t="s">
        <v>19</v>
      </c>
      <c r="B229" t="s">
        <v>20</v>
      </c>
      <c r="C229" t="s">
        <v>21</v>
      </c>
      <c r="D229" t="s">
        <v>22</v>
      </c>
    </row>
    <row r="231" spans="1:5" x14ac:dyDescent="0.2">
      <c r="A231" t="s">
        <v>23</v>
      </c>
      <c r="C231">
        <v>301</v>
      </c>
    </row>
    <row r="232" spans="1:5" x14ac:dyDescent="0.2">
      <c r="A232" t="s">
        <v>24</v>
      </c>
      <c r="C232">
        <v>606</v>
      </c>
      <c r="D232" t="s">
        <v>25</v>
      </c>
    </row>
    <row r="233" spans="1:5" x14ac:dyDescent="0.2">
      <c r="A233" t="s">
        <v>26</v>
      </c>
      <c r="C233">
        <v>906</v>
      </c>
      <c r="D233" t="s">
        <v>25</v>
      </c>
    </row>
    <row r="234" spans="1:5" x14ac:dyDescent="0.2">
      <c r="A234" t="s">
        <v>27</v>
      </c>
      <c r="C234">
        <v>12.000909999999999</v>
      </c>
      <c r="D234" t="s">
        <v>28</v>
      </c>
    </row>
    <row r="235" spans="1:5" x14ac:dyDescent="0.2">
      <c r="A235" t="s">
        <v>5</v>
      </c>
      <c r="C235">
        <v>26</v>
      </c>
    </row>
    <row r="236" spans="1:5" x14ac:dyDescent="0.2">
      <c r="A236" t="s">
        <v>6</v>
      </c>
      <c r="C236">
        <v>78</v>
      </c>
    </row>
    <row r="238" spans="1:5" x14ac:dyDescent="0.2">
      <c r="A238" t="s">
        <v>29</v>
      </c>
      <c r="B238" t="s">
        <v>30</v>
      </c>
      <c r="C238">
        <v>86556219.020830005</v>
      </c>
      <c r="D238" t="s">
        <v>31</v>
      </c>
    </row>
    <row r="239" spans="1:5" x14ac:dyDescent="0.2">
      <c r="A239" t="s">
        <v>32</v>
      </c>
      <c r="B239" t="s">
        <v>33</v>
      </c>
      <c r="C239">
        <v>73494661.558329999</v>
      </c>
      <c r="D239" t="s">
        <v>31</v>
      </c>
    </row>
    <row r="240" spans="1:5" x14ac:dyDescent="0.2">
      <c r="A240" t="s">
        <v>34</v>
      </c>
      <c r="B240" t="s">
        <v>35</v>
      </c>
      <c r="C240" s="2">
        <v>84.909739999999999</v>
      </c>
      <c r="D240" s="2" t="s">
        <v>36</v>
      </c>
      <c r="E240" s="2" t="s">
        <v>117</v>
      </c>
    </row>
    <row r="241" spans="1:4" x14ac:dyDescent="0.2">
      <c r="A241" t="s">
        <v>37</v>
      </c>
      <c r="B241" t="s">
        <v>38</v>
      </c>
      <c r="C241">
        <v>67281513.793400005</v>
      </c>
      <c r="D241" t="s">
        <v>39</v>
      </c>
    </row>
    <row r="242" spans="1:4" x14ac:dyDescent="0.2">
      <c r="A242" t="s">
        <v>40</v>
      </c>
      <c r="B242" t="s">
        <v>41</v>
      </c>
      <c r="C242">
        <v>50646324.136780001</v>
      </c>
      <c r="D242" t="s">
        <v>39</v>
      </c>
    </row>
    <row r="243" spans="1:4" x14ac:dyDescent="0.2">
      <c r="A243" t="s">
        <v>42</v>
      </c>
      <c r="B243" t="s">
        <v>43</v>
      </c>
      <c r="C243">
        <v>50629577.445430003</v>
      </c>
      <c r="D243" t="s">
        <v>39</v>
      </c>
    </row>
    <row r="244" spans="1:4" x14ac:dyDescent="0.2">
      <c r="A244" t="s">
        <v>44</v>
      </c>
      <c r="B244" t="s">
        <v>45</v>
      </c>
      <c r="C244">
        <v>0.68911999999999995</v>
      </c>
      <c r="D244" t="s">
        <v>46</v>
      </c>
    </row>
    <row r="245" spans="1:4" x14ac:dyDescent="0.2">
      <c r="A245" t="s">
        <v>47</v>
      </c>
      <c r="B245" t="s">
        <v>48</v>
      </c>
      <c r="C245">
        <v>0.58513000000000004</v>
      </c>
      <c r="D245" t="s">
        <v>46</v>
      </c>
    </row>
    <row r="246" spans="1:4" x14ac:dyDescent="0.2">
      <c r="A246" t="s">
        <v>49</v>
      </c>
      <c r="B246" t="s">
        <v>50</v>
      </c>
      <c r="C246">
        <v>19.125689999999999</v>
      </c>
      <c r="D246" t="s">
        <v>25</v>
      </c>
    </row>
    <row r="247" spans="1:4" x14ac:dyDescent="0.2">
      <c r="A247" t="s">
        <v>51</v>
      </c>
      <c r="B247" t="s">
        <v>52</v>
      </c>
      <c r="C247">
        <v>37.03472</v>
      </c>
      <c r="D247" t="s">
        <v>25</v>
      </c>
    </row>
    <row r="248" spans="1:4" x14ac:dyDescent="0.2">
      <c r="A248" t="s">
        <v>53</v>
      </c>
      <c r="B248" t="s">
        <v>54</v>
      </c>
      <c r="C248">
        <v>743.33727999999996</v>
      </c>
      <c r="D248" t="s">
        <v>25</v>
      </c>
    </row>
    <row r="251" spans="1:4" x14ac:dyDescent="0.2">
      <c r="A251" s="5" t="s">
        <v>216</v>
      </c>
      <c r="B251" s="3"/>
    </row>
    <row r="252" spans="1:4" x14ac:dyDescent="0.2">
      <c r="A252" t="s">
        <v>0</v>
      </c>
    </row>
    <row r="253" spans="1:4" x14ac:dyDescent="0.2">
      <c r="A253" t="s">
        <v>1</v>
      </c>
      <c r="B253" t="s">
        <v>119</v>
      </c>
    </row>
    <row r="255" spans="1:4" x14ac:dyDescent="0.2">
      <c r="A255" t="s">
        <v>0</v>
      </c>
    </row>
    <row r="256" spans="1:4" x14ac:dyDescent="0.2">
      <c r="A256" t="s">
        <v>120</v>
      </c>
    </row>
    <row r="257" spans="1:2" x14ac:dyDescent="0.2">
      <c r="A257" t="s">
        <v>3</v>
      </c>
      <c r="B257" t="s">
        <v>121</v>
      </c>
    </row>
    <row r="258" spans="1:2" x14ac:dyDescent="0.2">
      <c r="A258" t="s">
        <v>122</v>
      </c>
      <c r="B258" t="s">
        <v>123</v>
      </c>
    </row>
    <row r="259" spans="1:2" x14ac:dyDescent="0.2">
      <c r="A259" t="s">
        <v>124</v>
      </c>
      <c r="B259">
        <v>2</v>
      </c>
    </row>
    <row r="260" spans="1:2" x14ac:dyDescent="0.2">
      <c r="A260" t="s">
        <v>125</v>
      </c>
      <c r="B260">
        <v>46</v>
      </c>
    </row>
    <row r="261" spans="1:2" x14ac:dyDescent="0.2">
      <c r="A261" t="s">
        <v>126</v>
      </c>
      <c r="B261">
        <v>72</v>
      </c>
    </row>
    <row r="262" spans="1:2" x14ac:dyDescent="0.2">
      <c r="A262" t="s">
        <v>127</v>
      </c>
    </row>
    <row r="264" spans="1:2" x14ac:dyDescent="0.2">
      <c r="A264" t="s">
        <v>0</v>
      </c>
    </row>
    <row r="265" spans="1:2" x14ac:dyDescent="0.2">
      <c r="A265" t="s">
        <v>1</v>
      </c>
      <c r="B265" t="s">
        <v>119</v>
      </c>
    </row>
    <row r="267" spans="1:2" x14ac:dyDescent="0.2">
      <c r="A267" t="s">
        <v>0</v>
      </c>
    </row>
    <row r="268" spans="1:2" x14ac:dyDescent="0.2">
      <c r="A268" t="s">
        <v>128</v>
      </c>
    </row>
    <row r="269" spans="1:2" x14ac:dyDescent="0.2">
      <c r="A269" t="s">
        <v>3</v>
      </c>
      <c r="B269" t="s">
        <v>4</v>
      </c>
    </row>
    <row r="270" spans="1:2" x14ac:dyDescent="0.2">
      <c r="A270" t="s">
        <v>5</v>
      </c>
      <c r="B270">
        <v>22</v>
      </c>
    </row>
    <row r="271" spans="1:2" x14ac:dyDescent="0.2">
      <c r="A271" t="s">
        <v>6</v>
      </c>
      <c r="B271">
        <v>88</v>
      </c>
    </row>
    <row r="272" spans="1:2" x14ac:dyDescent="0.2">
      <c r="A272" t="s">
        <v>129</v>
      </c>
    </row>
    <row r="274" spans="1:4" x14ac:dyDescent="0.2">
      <c r="A274" t="s">
        <v>0</v>
      </c>
    </row>
    <row r="275" spans="1:4" x14ac:dyDescent="0.2">
      <c r="A275" t="s">
        <v>130</v>
      </c>
    </row>
    <row r="277" spans="1:4" x14ac:dyDescent="0.2">
      <c r="A277" t="s">
        <v>131</v>
      </c>
    </row>
    <row r="279" spans="1:4" x14ac:dyDescent="0.2">
      <c r="A279" t="s">
        <v>7</v>
      </c>
      <c r="B279" t="s">
        <v>132</v>
      </c>
    </row>
    <row r="280" spans="1:4" x14ac:dyDescent="0.2">
      <c r="A280" t="s">
        <v>8</v>
      </c>
      <c r="B280" t="s">
        <v>9</v>
      </c>
    </row>
    <row r="281" spans="1:4" x14ac:dyDescent="0.2">
      <c r="A281" t="s">
        <v>10</v>
      </c>
      <c r="B281" t="s">
        <v>11</v>
      </c>
    </row>
    <row r="282" spans="1:4" x14ac:dyDescent="0.2">
      <c r="A282" t="s">
        <v>12</v>
      </c>
      <c r="B282" s="1">
        <v>2.7314814814814814E-3</v>
      </c>
    </row>
    <row r="283" spans="1:4" x14ac:dyDescent="0.2">
      <c r="A283" t="s">
        <v>13</v>
      </c>
      <c r="B283" t="s">
        <v>133</v>
      </c>
    </row>
    <row r="284" spans="1:4" x14ac:dyDescent="0.2">
      <c r="A284" t="s">
        <v>15</v>
      </c>
      <c r="B284" t="s">
        <v>134</v>
      </c>
    </row>
    <row r="286" spans="1:4" x14ac:dyDescent="0.2">
      <c r="A286" t="s">
        <v>17</v>
      </c>
    </row>
    <row r="287" spans="1:4" x14ac:dyDescent="0.2">
      <c r="A287" t="s">
        <v>18</v>
      </c>
    </row>
    <row r="288" spans="1:4" x14ac:dyDescent="0.2">
      <c r="A288" t="s">
        <v>19</v>
      </c>
      <c r="B288" t="s">
        <v>20</v>
      </c>
      <c r="C288" t="s">
        <v>21</v>
      </c>
      <c r="D288" t="s">
        <v>22</v>
      </c>
    </row>
    <row r="290" spans="1:6" x14ac:dyDescent="0.2">
      <c r="A290" t="s">
        <v>23</v>
      </c>
      <c r="C290">
        <v>300</v>
      </c>
    </row>
    <row r="291" spans="1:6" x14ac:dyDescent="0.2">
      <c r="A291" t="s">
        <v>24</v>
      </c>
      <c r="C291">
        <v>606</v>
      </c>
      <c r="D291" t="s">
        <v>25</v>
      </c>
    </row>
    <row r="292" spans="1:6" x14ac:dyDescent="0.2">
      <c r="A292" t="s">
        <v>26</v>
      </c>
      <c r="C292">
        <v>905</v>
      </c>
      <c r="D292" t="s">
        <v>25</v>
      </c>
    </row>
    <row r="293" spans="1:6" x14ac:dyDescent="0.2">
      <c r="A293" t="s">
        <v>27</v>
      </c>
      <c r="C293">
        <v>12.000909999999999</v>
      </c>
      <c r="D293" t="s">
        <v>28</v>
      </c>
    </row>
    <row r="294" spans="1:6" x14ac:dyDescent="0.2">
      <c r="A294" t="s">
        <v>5</v>
      </c>
      <c r="C294">
        <v>22</v>
      </c>
    </row>
    <row r="295" spans="1:6" x14ac:dyDescent="0.2">
      <c r="A295" t="s">
        <v>6</v>
      </c>
      <c r="C295">
        <v>88</v>
      </c>
    </row>
    <row r="297" spans="1:6" x14ac:dyDescent="0.2">
      <c r="A297" t="s">
        <v>29</v>
      </c>
      <c r="B297" t="s">
        <v>30</v>
      </c>
      <c r="C297">
        <v>425859699.66667002</v>
      </c>
      <c r="D297" t="s">
        <v>31</v>
      </c>
    </row>
    <row r="298" spans="1:6" x14ac:dyDescent="0.2">
      <c r="A298" t="s">
        <v>32</v>
      </c>
      <c r="B298" t="s">
        <v>33</v>
      </c>
      <c r="C298">
        <v>380740313.92083001</v>
      </c>
      <c r="D298" t="s">
        <v>31</v>
      </c>
    </row>
    <row r="299" spans="1:6" x14ac:dyDescent="0.2">
      <c r="A299" t="s">
        <v>34</v>
      </c>
      <c r="B299" t="s">
        <v>35</v>
      </c>
      <c r="C299">
        <v>89.405109999999993</v>
      </c>
      <c r="D299" t="s">
        <v>36</v>
      </c>
      <c r="E299" s="2">
        <f>100-C299</f>
        <v>10.594890000000007</v>
      </c>
      <c r="F299" s="2" t="s">
        <v>118</v>
      </c>
    </row>
    <row r="300" spans="1:6" x14ac:dyDescent="0.2">
      <c r="A300" t="s">
        <v>37</v>
      </c>
      <c r="B300" t="s">
        <v>38</v>
      </c>
      <c r="C300">
        <v>4173379.7265099999</v>
      </c>
      <c r="D300" t="s">
        <v>39</v>
      </c>
    </row>
    <row r="301" spans="1:6" x14ac:dyDescent="0.2">
      <c r="A301" t="s">
        <v>40</v>
      </c>
      <c r="B301" t="s">
        <v>41</v>
      </c>
      <c r="C301">
        <v>42251504.891230002</v>
      </c>
      <c r="D301" t="s">
        <v>39</v>
      </c>
    </row>
    <row r="302" spans="1:6" x14ac:dyDescent="0.2">
      <c r="A302" t="s">
        <v>42</v>
      </c>
      <c r="B302" t="s">
        <v>43</v>
      </c>
      <c r="C302">
        <v>2826403.57027</v>
      </c>
      <c r="D302" t="s">
        <v>39</v>
      </c>
    </row>
    <row r="303" spans="1:6" x14ac:dyDescent="0.2">
      <c r="A303" t="s">
        <v>44</v>
      </c>
      <c r="B303" t="s">
        <v>45</v>
      </c>
      <c r="C303">
        <v>0.11097</v>
      </c>
      <c r="D303" t="s">
        <v>46</v>
      </c>
    </row>
    <row r="304" spans="1:6" x14ac:dyDescent="0.2">
      <c r="A304" t="s">
        <v>47</v>
      </c>
      <c r="B304" t="s">
        <v>48</v>
      </c>
      <c r="C304">
        <v>9.9210000000000007E-2</v>
      </c>
      <c r="D304" t="s">
        <v>46</v>
      </c>
    </row>
    <row r="305" spans="1:4" x14ac:dyDescent="0.2">
      <c r="A305" t="s">
        <v>49</v>
      </c>
      <c r="B305" t="s">
        <v>50</v>
      </c>
      <c r="C305">
        <v>6.1329200000000004</v>
      </c>
      <c r="D305" t="s">
        <v>25</v>
      </c>
    </row>
    <row r="306" spans="1:4" x14ac:dyDescent="0.2">
      <c r="A306" t="s">
        <v>51</v>
      </c>
      <c r="B306" t="s">
        <v>52</v>
      </c>
      <c r="C306">
        <v>-4.3366400000000001</v>
      </c>
      <c r="D306" t="s">
        <v>25</v>
      </c>
    </row>
    <row r="307" spans="1:4" x14ac:dyDescent="0.2">
      <c r="A307" t="s">
        <v>53</v>
      </c>
      <c r="B307" t="s">
        <v>54</v>
      </c>
      <c r="C307">
        <v>756.75719000000004</v>
      </c>
      <c r="D307" t="s">
        <v>25</v>
      </c>
    </row>
    <row r="308" spans="1:4" x14ac:dyDescent="0.2">
      <c r="A308" t="s">
        <v>55</v>
      </c>
      <c r="B308" t="s">
        <v>56</v>
      </c>
      <c r="C308">
        <v>16.709620000000001</v>
      </c>
      <c r="D308" t="s">
        <v>25</v>
      </c>
    </row>
    <row r="309" spans="1:4" x14ac:dyDescent="0.2">
      <c r="A309" t="s">
        <v>57</v>
      </c>
      <c r="B309" t="s">
        <v>58</v>
      </c>
      <c r="C309">
        <v>5.3510000000000002E-2</v>
      </c>
      <c r="D309" t="s">
        <v>46</v>
      </c>
    </row>
    <row r="311" spans="1:4" x14ac:dyDescent="0.2">
      <c r="A311" t="s">
        <v>61</v>
      </c>
      <c r="B311" t="s">
        <v>56</v>
      </c>
    </row>
    <row r="312" spans="1:4" x14ac:dyDescent="0.2">
      <c r="A312" t="s">
        <v>62</v>
      </c>
      <c r="B312" t="s">
        <v>63</v>
      </c>
      <c r="C312" t="s">
        <v>64</v>
      </c>
      <c r="D312" t="s">
        <v>65</v>
      </c>
    </row>
    <row r="313" spans="1:4" x14ac:dyDescent="0.2">
      <c r="A313" t="s">
        <v>25</v>
      </c>
      <c r="B313" t="s">
        <v>25</v>
      </c>
      <c r="C313" t="s">
        <v>31</v>
      </c>
      <c r="D313" t="s">
        <v>36</v>
      </c>
    </row>
    <row r="314" spans="1:4" x14ac:dyDescent="0.2">
      <c r="A314" t="s">
        <v>66</v>
      </c>
      <c r="B314">
        <v>2</v>
      </c>
      <c r="C314">
        <v>775405</v>
      </c>
      <c r="D314">
        <v>0.2044</v>
      </c>
    </row>
    <row r="315" spans="1:4" x14ac:dyDescent="0.2">
      <c r="A315" t="s">
        <v>67</v>
      </c>
      <c r="B315">
        <v>4</v>
      </c>
      <c r="C315">
        <v>5207073</v>
      </c>
      <c r="D315">
        <v>1.3727</v>
      </c>
    </row>
    <row r="316" spans="1:4" x14ac:dyDescent="0.2">
      <c r="A316" t="s">
        <v>68</v>
      </c>
      <c r="B316">
        <v>6</v>
      </c>
      <c r="C316">
        <v>9739684</v>
      </c>
      <c r="D316">
        <v>2.5676000000000001</v>
      </c>
    </row>
    <row r="317" spans="1:4" x14ac:dyDescent="0.2">
      <c r="A317" t="s">
        <v>69</v>
      </c>
      <c r="B317">
        <v>8</v>
      </c>
      <c r="C317">
        <v>23590540</v>
      </c>
      <c r="D317">
        <v>6.2190000000000003</v>
      </c>
    </row>
    <row r="318" spans="1:4" x14ac:dyDescent="0.2">
      <c r="A318" t="s">
        <v>70</v>
      </c>
      <c r="B318">
        <v>10</v>
      </c>
      <c r="C318">
        <v>34727130</v>
      </c>
      <c r="D318">
        <v>9.1548999999999996</v>
      </c>
    </row>
    <row r="319" spans="1:4" x14ac:dyDescent="0.2">
      <c r="A319" t="s">
        <v>71</v>
      </c>
      <c r="B319">
        <v>12</v>
      </c>
      <c r="C319">
        <v>37538155</v>
      </c>
      <c r="D319">
        <v>9.8958999999999993</v>
      </c>
    </row>
    <row r="320" spans="1:4" x14ac:dyDescent="0.2">
      <c r="A320" t="s">
        <v>72</v>
      </c>
      <c r="B320">
        <v>14</v>
      </c>
      <c r="C320">
        <v>48724032</v>
      </c>
      <c r="D320">
        <v>12.844799999999999</v>
      </c>
    </row>
    <row r="321" spans="1:4" x14ac:dyDescent="0.2">
      <c r="A321" t="s">
        <v>73</v>
      </c>
      <c r="B321">
        <v>16</v>
      </c>
      <c r="C321">
        <v>47348275</v>
      </c>
      <c r="D321">
        <v>12.482100000000001</v>
      </c>
    </row>
    <row r="322" spans="1:4" x14ac:dyDescent="0.2">
      <c r="A322" t="s">
        <v>74</v>
      </c>
      <c r="B322">
        <v>18</v>
      </c>
      <c r="C322">
        <v>41839784</v>
      </c>
      <c r="D322">
        <v>11.0299</v>
      </c>
    </row>
    <row r="323" spans="1:4" x14ac:dyDescent="0.2">
      <c r="A323" t="s">
        <v>75</v>
      </c>
      <c r="B323">
        <v>20</v>
      </c>
      <c r="C323">
        <v>37552672</v>
      </c>
      <c r="D323">
        <v>9.8998000000000008</v>
      </c>
    </row>
    <row r="324" spans="1:4" x14ac:dyDescent="0.2">
      <c r="A324" t="s">
        <v>76</v>
      </c>
      <c r="B324">
        <v>22</v>
      </c>
      <c r="C324">
        <v>30243600</v>
      </c>
      <c r="D324">
        <v>7.9729000000000001</v>
      </c>
    </row>
    <row r="325" spans="1:4" x14ac:dyDescent="0.2">
      <c r="A325" t="s">
        <v>80</v>
      </c>
      <c r="B325">
        <v>24</v>
      </c>
      <c r="C325">
        <v>21952748</v>
      </c>
      <c r="D325">
        <v>5.7873000000000001</v>
      </c>
    </row>
    <row r="326" spans="1:4" x14ac:dyDescent="0.2">
      <c r="A326" t="s">
        <v>81</v>
      </c>
      <c r="B326">
        <v>26</v>
      </c>
      <c r="C326">
        <v>16686503</v>
      </c>
      <c r="D326">
        <v>4.3989000000000003</v>
      </c>
    </row>
    <row r="327" spans="1:4" x14ac:dyDescent="0.2">
      <c r="A327" t="s">
        <v>82</v>
      </c>
      <c r="B327">
        <v>28</v>
      </c>
      <c r="C327">
        <v>11193960</v>
      </c>
      <c r="D327">
        <v>2.9510000000000001</v>
      </c>
    </row>
    <row r="328" spans="1:4" x14ac:dyDescent="0.2">
      <c r="A328" t="s">
        <v>83</v>
      </c>
      <c r="B328">
        <v>30</v>
      </c>
      <c r="C328">
        <v>6195407</v>
      </c>
      <c r="D328">
        <v>1.6333</v>
      </c>
    </row>
    <row r="329" spans="1:4" x14ac:dyDescent="0.2">
      <c r="A329" t="s">
        <v>84</v>
      </c>
      <c r="B329">
        <v>32</v>
      </c>
      <c r="C329">
        <v>3140944</v>
      </c>
      <c r="D329">
        <v>0.82799999999999996</v>
      </c>
    </row>
    <row r="330" spans="1:4" x14ac:dyDescent="0.2">
      <c r="A330" t="s">
        <v>85</v>
      </c>
      <c r="B330">
        <v>34</v>
      </c>
      <c r="C330">
        <v>1558879</v>
      </c>
      <c r="D330">
        <v>0.41099999999999998</v>
      </c>
    </row>
    <row r="331" spans="1:4" x14ac:dyDescent="0.2">
      <c r="A331" t="s">
        <v>86</v>
      </c>
      <c r="B331">
        <v>36</v>
      </c>
      <c r="C331">
        <v>890547</v>
      </c>
      <c r="D331">
        <v>0.23480000000000001</v>
      </c>
    </row>
    <row r="332" spans="1:4" x14ac:dyDescent="0.2">
      <c r="A332" t="s">
        <v>135</v>
      </c>
      <c r="B332">
        <v>38</v>
      </c>
      <c r="C332">
        <v>337156</v>
      </c>
      <c r="D332">
        <v>8.8900000000000007E-2</v>
      </c>
    </row>
    <row r="333" spans="1:4" x14ac:dyDescent="0.2">
      <c r="A333" t="s">
        <v>136</v>
      </c>
      <c r="B333">
        <v>40</v>
      </c>
      <c r="C333">
        <v>48689</v>
      </c>
      <c r="D333">
        <v>1.2800000000000001E-2</v>
      </c>
    </row>
    <row r="334" spans="1:4" x14ac:dyDescent="0.2">
      <c r="A334" t="s">
        <v>137</v>
      </c>
      <c r="B334">
        <v>42</v>
      </c>
      <c r="C334">
        <v>38084</v>
      </c>
      <c r="D334">
        <v>0.01</v>
      </c>
    </row>
    <row r="335" spans="1:4" x14ac:dyDescent="0.2">
      <c r="A335" t="s">
        <v>77</v>
      </c>
      <c r="B335" t="s">
        <v>78</v>
      </c>
      <c r="C335">
        <v>6.2630299999999997</v>
      </c>
      <c r="D335" t="s">
        <v>25</v>
      </c>
    </row>
    <row r="339" spans="1:1" x14ac:dyDescent="0.2">
      <c r="A339" s="6" t="s">
        <v>228</v>
      </c>
    </row>
    <row r="340" spans="1:1" x14ac:dyDescent="0.2">
      <c r="A340" t="s">
        <v>0</v>
      </c>
    </row>
    <row r="341" spans="1:1" x14ac:dyDescent="0.2">
      <c r="A341" t="s">
        <v>138</v>
      </c>
    </row>
    <row r="343" spans="1:1" x14ac:dyDescent="0.2">
      <c r="A343" t="s">
        <v>139</v>
      </c>
    </row>
    <row r="344" spans="1:1" x14ac:dyDescent="0.2">
      <c r="A344" t="s">
        <v>140</v>
      </c>
    </row>
    <row r="345" spans="1:1" x14ac:dyDescent="0.2">
      <c r="A345" t="s">
        <v>141</v>
      </c>
    </row>
    <row r="347" spans="1:1" x14ac:dyDescent="0.2">
      <c r="A347" t="s">
        <v>0</v>
      </c>
    </row>
    <row r="348" spans="1:1" x14ac:dyDescent="0.2">
      <c r="A348" t="s">
        <v>142</v>
      </c>
    </row>
    <row r="349" spans="1:1" x14ac:dyDescent="0.2">
      <c r="A349" t="s">
        <v>143</v>
      </c>
    </row>
    <row r="350" spans="1:1" x14ac:dyDescent="0.2">
      <c r="A350" t="s">
        <v>144</v>
      </c>
    </row>
    <row r="352" spans="1:1" x14ac:dyDescent="0.2">
      <c r="A352" t="s">
        <v>0</v>
      </c>
    </row>
    <row r="353" spans="1:1" x14ac:dyDescent="0.2">
      <c r="A353" t="s">
        <v>145</v>
      </c>
    </row>
    <row r="355" spans="1:1" x14ac:dyDescent="0.2">
      <c r="A355" t="s">
        <v>146</v>
      </c>
    </row>
    <row r="356" spans="1:1" x14ac:dyDescent="0.2">
      <c r="A356" t="s">
        <v>140</v>
      </c>
    </row>
    <row r="357" spans="1:1" x14ac:dyDescent="0.2">
      <c r="A357" t="s">
        <v>147</v>
      </c>
    </row>
    <row r="358" spans="1:1" x14ac:dyDescent="0.2">
      <c r="A358" t="s">
        <v>141</v>
      </c>
    </row>
    <row r="360" spans="1:1" x14ac:dyDescent="0.2">
      <c r="A360" t="s">
        <v>0</v>
      </c>
    </row>
    <row r="362" spans="1:1" x14ac:dyDescent="0.2">
      <c r="A362" t="s">
        <v>0</v>
      </c>
    </row>
    <row r="363" spans="1:1" x14ac:dyDescent="0.2">
      <c r="A363" t="s">
        <v>148</v>
      </c>
    </row>
    <row r="364" spans="1:1" x14ac:dyDescent="0.2">
      <c r="A364" t="s">
        <v>143</v>
      </c>
    </row>
    <row r="365" spans="1:1" x14ac:dyDescent="0.2">
      <c r="A365" t="s">
        <v>149</v>
      </c>
    </row>
    <row r="367" spans="1:1" x14ac:dyDescent="0.2">
      <c r="A367" t="s">
        <v>0</v>
      </c>
    </row>
    <row r="368" spans="1:1" x14ac:dyDescent="0.2">
      <c r="A368" t="s">
        <v>150</v>
      </c>
    </row>
    <row r="369" spans="1:1" x14ac:dyDescent="0.2">
      <c r="A369" t="s">
        <v>100</v>
      </c>
    </row>
    <row r="370" spans="1:1" x14ac:dyDescent="0.2">
      <c r="A370" t="s">
        <v>151</v>
      </c>
    </row>
    <row r="372" spans="1:1" x14ac:dyDescent="0.2">
      <c r="A372" t="s">
        <v>0</v>
      </c>
    </row>
    <row r="373" spans="1:1" x14ac:dyDescent="0.2">
      <c r="A373" t="s">
        <v>152</v>
      </c>
    </row>
    <row r="374" spans="1:1" x14ac:dyDescent="0.2">
      <c r="A374" t="s">
        <v>109</v>
      </c>
    </row>
    <row r="375" spans="1:1" x14ac:dyDescent="0.2">
      <c r="A375" t="s">
        <v>104</v>
      </c>
    </row>
    <row r="376" spans="1:1" x14ac:dyDescent="0.2">
      <c r="A376" t="s">
        <v>153</v>
      </c>
    </row>
    <row r="378" spans="1:1" x14ac:dyDescent="0.2">
      <c r="A378" t="s">
        <v>0</v>
      </c>
    </row>
    <row r="379" spans="1:1" x14ac:dyDescent="0.2">
      <c r="A379" t="s">
        <v>154</v>
      </c>
    </row>
    <row r="380" spans="1:1" x14ac:dyDescent="0.2">
      <c r="A380" t="s">
        <v>107</v>
      </c>
    </row>
    <row r="382" spans="1:1" x14ac:dyDescent="0.2">
      <c r="A382" t="s">
        <v>0</v>
      </c>
    </row>
    <row r="384" spans="1:1" x14ac:dyDescent="0.2">
      <c r="A384" t="s">
        <v>0</v>
      </c>
    </row>
    <row r="385" spans="1:2" x14ac:dyDescent="0.2">
      <c r="A385" t="s">
        <v>155</v>
      </c>
    </row>
    <row r="386" spans="1:2" x14ac:dyDescent="0.2">
      <c r="A386" t="s">
        <v>113</v>
      </c>
    </row>
    <row r="387" spans="1:2" x14ac:dyDescent="0.2">
      <c r="A387" t="s">
        <v>156</v>
      </c>
    </row>
    <row r="389" spans="1:2" x14ac:dyDescent="0.2">
      <c r="A389" t="s">
        <v>0</v>
      </c>
    </row>
    <row r="390" spans="1:2" x14ac:dyDescent="0.2">
      <c r="A390" t="s">
        <v>157</v>
      </c>
    </row>
    <row r="392" spans="1:2" x14ac:dyDescent="0.2">
      <c r="A392" t="s">
        <v>7</v>
      </c>
      <c r="B392" t="s">
        <v>158</v>
      </c>
    </row>
    <row r="393" spans="1:2" x14ac:dyDescent="0.2">
      <c r="A393" t="s">
        <v>8</v>
      </c>
      <c r="B393" t="s">
        <v>9</v>
      </c>
    </row>
    <row r="394" spans="1:2" x14ac:dyDescent="0.2">
      <c r="A394" t="s">
        <v>10</v>
      </c>
      <c r="B394" t="s">
        <v>11</v>
      </c>
    </row>
    <row r="395" spans="1:2" x14ac:dyDescent="0.2">
      <c r="A395" t="s">
        <v>12</v>
      </c>
      <c r="B395" s="1">
        <v>6.9444444444444444E-5</v>
      </c>
    </row>
    <row r="396" spans="1:2" x14ac:dyDescent="0.2">
      <c r="A396" t="s">
        <v>13</v>
      </c>
      <c r="B396" t="s">
        <v>133</v>
      </c>
    </row>
    <row r="397" spans="1:2" x14ac:dyDescent="0.2">
      <c r="A397" t="s">
        <v>15</v>
      </c>
      <c r="B397" t="s">
        <v>134</v>
      </c>
    </row>
    <row r="399" spans="1:2" x14ac:dyDescent="0.2">
      <c r="A399" t="s">
        <v>17</v>
      </c>
    </row>
    <row r="400" spans="1:2" x14ac:dyDescent="0.2">
      <c r="A400" t="s">
        <v>18</v>
      </c>
    </row>
    <row r="401" spans="1:4" x14ac:dyDescent="0.2">
      <c r="A401" t="s">
        <v>19</v>
      </c>
      <c r="B401" t="s">
        <v>20</v>
      </c>
      <c r="C401" t="s">
        <v>21</v>
      </c>
      <c r="D401" t="s">
        <v>22</v>
      </c>
    </row>
    <row r="403" spans="1:4" x14ac:dyDescent="0.2">
      <c r="A403" t="s">
        <v>23</v>
      </c>
      <c r="C403">
        <v>300</v>
      </c>
    </row>
    <row r="404" spans="1:4" x14ac:dyDescent="0.2">
      <c r="A404" t="s">
        <v>24</v>
      </c>
      <c r="C404">
        <v>606</v>
      </c>
      <c r="D404" t="s">
        <v>25</v>
      </c>
    </row>
    <row r="405" spans="1:4" x14ac:dyDescent="0.2">
      <c r="A405" t="s">
        <v>26</v>
      </c>
      <c r="C405">
        <v>905</v>
      </c>
      <c r="D405" t="s">
        <v>25</v>
      </c>
    </row>
    <row r="406" spans="1:4" x14ac:dyDescent="0.2">
      <c r="A406" t="s">
        <v>27</v>
      </c>
      <c r="C406">
        <v>12.000909999999999</v>
      </c>
      <c r="D406" t="s">
        <v>28</v>
      </c>
    </row>
    <row r="407" spans="1:4" x14ac:dyDescent="0.2">
      <c r="A407" t="s">
        <v>5</v>
      </c>
      <c r="C407">
        <v>22</v>
      </c>
    </row>
    <row r="408" spans="1:4" x14ac:dyDescent="0.2">
      <c r="A408" t="s">
        <v>6</v>
      </c>
      <c r="C408">
        <v>88</v>
      </c>
    </row>
    <row r="410" spans="1:4" x14ac:dyDescent="0.2">
      <c r="A410" t="s">
        <v>29</v>
      </c>
      <c r="B410" t="s">
        <v>30</v>
      </c>
      <c r="C410">
        <v>45047024.766670004</v>
      </c>
      <c r="D410" t="s">
        <v>31</v>
      </c>
    </row>
    <row r="411" spans="1:4" x14ac:dyDescent="0.2">
      <c r="A411" t="s">
        <v>32</v>
      </c>
      <c r="B411" t="s">
        <v>33</v>
      </c>
      <c r="C411">
        <v>31500034.79583</v>
      </c>
      <c r="D411" t="s">
        <v>31</v>
      </c>
    </row>
    <row r="412" spans="1:4" x14ac:dyDescent="0.2">
      <c r="A412" t="s">
        <v>34</v>
      </c>
      <c r="B412" t="s">
        <v>35</v>
      </c>
      <c r="C412">
        <v>69.927000000000007</v>
      </c>
      <c r="D412" t="s">
        <v>36</v>
      </c>
    </row>
    <row r="413" spans="1:4" x14ac:dyDescent="0.2">
      <c r="A413" t="s">
        <v>37</v>
      </c>
      <c r="B413" t="s">
        <v>38</v>
      </c>
      <c r="C413">
        <v>40328585.033830002</v>
      </c>
      <c r="D413" t="s">
        <v>39</v>
      </c>
    </row>
    <row r="414" spans="1:4" x14ac:dyDescent="0.2">
      <c r="A414" t="s">
        <v>40</v>
      </c>
      <c r="B414" t="s">
        <v>41</v>
      </c>
      <c r="C414">
        <v>23404982.44196</v>
      </c>
      <c r="D414" t="s">
        <v>39</v>
      </c>
    </row>
    <row r="415" spans="1:4" x14ac:dyDescent="0.2">
      <c r="A415" t="s">
        <v>42</v>
      </c>
      <c r="B415" t="s">
        <v>43</v>
      </c>
      <c r="C415">
        <v>23396081.69162</v>
      </c>
      <c r="D415" t="s">
        <v>39</v>
      </c>
    </row>
    <row r="416" spans="1:4" x14ac:dyDescent="0.2">
      <c r="A416" t="s">
        <v>44</v>
      </c>
      <c r="B416" t="s">
        <v>45</v>
      </c>
      <c r="C416">
        <v>0.74300999999999995</v>
      </c>
      <c r="D416" t="s">
        <v>46</v>
      </c>
    </row>
    <row r="417" spans="1:4" x14ac:dyDescent="0.2">
      <c r="A417" t="s">
        <v>47</v>
      </c>
      <c r="B417" t="s">
        <v>48</v>
      </c>
      <c r="C417">
        <v>0.51956999999999998</v>
      </c>
      <c r="D417" t="s">
        <v>46</v>
      </c>
    </row>
    <row r="418" spans="1:4" x14ac:dyDescent="0.2">
      <c r="A418" t="s">
        <v>49</v>
      </c>
      <c r="B418" t="s">
        <v>50</v>
      </c>
      <c r="C418">
        <v>50.390990000000002</v>
      </c>
      <c r="D418" t="s">
        <v>25</v>
      </c>
    </row>
    <row r="419" spans="1:4" x14ac:dyDescent="0.2">
      <c r="A419" t="s">
        <v>51</v>
      </c>
      <c r="B419" t="s">
        <v>52</v>
      </c>
      <c r="C419">
        <v>141.53702999999999</v>
      </c>
      <c r="D419" t="s">
        <v>25</v>
      </c>
    </row>
    <row r="420" spans="1:4" x14ac:dyDescent="0.2">
      <c r="A420" t="s">
        <v>53</v>
      </c>
      <c r="B420" t="s">
        <v>54</v>
      </c>
      <c r="C420">
        <v>739.19572000000005</v>
      </c>
      <c r="D420" t="s">
        <v>25</v>
      </c>
    </row>
    <row r="425" spans="1:4" x14ac:dyDescent="0.2">
      <c r="A425" t="s">
        <v>0</v>
      </c>
    </row>
    <row r="426" spans="1:4" x14ac:dyDescent="0.2">
      <c r="A426" t="s">
        <v>159</v>
      </c>
    </row>
    <row r="428" spans="1:4" x14ac:dyDescent="0.2">
      <c r="A428" t="s">
        <v>7</v>
      </c>
      <c r="B428" t="s">
        <v>160</v>
      </c>
    </row>
    <row r="429" spans="1:4" x14ac:dyDescent="0.2">
      <c r="A429" t="s">
        <v>8</v>
      </c>
      <c r="B429" t="s">
        <v>9</v>
      </c>
    </row>
    <row r="430" spans="1:4" x14ac:dyDescent="0.2">
      <c r="A430" t="s">
        <v>10</v>
      </c>
      <c r="B430" t="s">
        <v>11</v>
      </c>
    </row>
    <row r="431" spans="1:4" x14ac:dyDescent="0.2">
      <c r="A431" t="s">
        <v>12</v>
      </c>
      <c r="B431" s="1">
        <v>8.1018518518518516E-5</v>
      </c>
    </row>
    <row r="432" spans="1:4" x14ac:dyDescent="0.2">
      <c r="A432" t="s">
        <v>13</v>
      </c>
      <c r="B432" t="s">
        <v>133</v>
      </c>
    </row>
    <row r="433" spans="1:4" x14ac:dyDescent="0.2">
      <c r="A433" t="s">
        <v>15</v>
      </c>
      <c r="B433" t="s">
        <v>134</v>
      </c>
    </row>
    <row r="435" spans="1:4" x14ac:dyDescent="0.2">
      <c r="A435" t="s">
        <v>17</v>
      </c>
    </row>
    <row r="436" spans="1:4" x14ac:dyDescent="0.2">
      <c r="A436" t="s">
        <v>18</v>
      </c>
    </row>
    <row r="437" spans="1:4" x14ac:dyDescent="0.2">
      <c r="A437" t="s">
        <v>19</v>
      </c>
      <c r="B437" t="s">
        <v>20</v>
      </c>
      <c r="C437" t="s">
        <v>21</v>
      </c>
      <c r="D437" t="s">
        <v>22</v>
      </c>
    </row>
    <row r="439" spans="1:4" x14ac:dyDescent="0.2">
      <c r="A439" t="s">
        <v>23</v>
      </c>
      <c r="C439">
        <v>300</v>
      </c>
    </row>
    <row r="440" spans="1:4" x14ac:dyDescent="0.2">
      <c r="A440" t="s">
        <v>24</v>
      </c>
      <c r="C440">
        <v>606</v>
      </c>
      <c r="D440" t="s">
        <v>25</v>
      </c>
    </row>
    <row r="441" spans="1:4" x14ac:dyDescent="0.2">
      <c r="A441" t="s">
        <v>26</v>
      </c>
      <c r="C441">
        <v>905</v>
      </c>
      <c r="D441" t="s">
        <v>25</v>
      </c>
    </row>
    <row r="442" spans="1:4" x14ac:dyDescent="0.2">
      <c r="A442" t="s">
        <v>27</v>
      </c>
      <c r="C442">
        <v>12.000909999999999</v>
      </c>
      <c r="D442" t="s">
        <v>28</v>
      </c>
    </row>
    <row r="443" spans="1:4" x14ac:dyDescent="0.2">
      <c r="A443" t="s">
        <v>5</v>
      </c>
      <c r="C443">
        <v>22</v>
      </c>
    </row>
    <row r="444" spans="1:4" x14ac:dyDescent="0.2">
      <c r="A444" t="s">
        <v>6</v>
      </c>
      <c r="C444">
        <v>88</v>
      </c>
    </row>
    <row r="446" spans="1:4" x14ac:dyDescent="0.2">
      <c r="A446" t="s">
        <v>29</v>
      </c>
      <c r="B446" t="s">
        <v>30</v>
      </c>
      <c r="C446">
        <v>45047024.766670004</v>
      </c>
      <c r="D446" t="s">
        <v>31</v>
      </c>
    </row>
    <row r="447" spans="1:4" x14ac:dyDescent="0.2">
      <c r="A447" t="s">
        <v>32</v>
      </c>
      <c r="B447" t="s">
        <v>33</v>
      </c>
      <c r="C447">
        <v>31500034.79583</v>
      </c>
      <c r="D447" t="s">
        <v>31</v>
      </c>
    </row>
    <row r="448" spans="1:4" x14ac:dyDescent="0.2">
      <c r="A448" t="s">
        <v>34</v>
      </c>
      <c r="B448" t="s">
        <v>35</v>
      </c>
      <c r="C448">
        <v>69.927000000000007</v>
      </c>
      <c r="D448" t="s">
        <v>36</v>
      </c>
    </row>
    <row r="449" spans="1:4" x14ac:dyDescent="0.2">
      <c r="A449" t="s">
        <v>37</v>
      </c>
      <c r="B449" t="s">
        <v>38</v>
      </c>
      <c r="C449">
        <v>40328585.033830002</v>
      </c>
      <c r="D449" t="s">
        <v>39</v>
      </c>
    </row>
    <row r="450" spans="1:4" x14ac:dyDescent="0.2">
      <c r="A450" t="s">
        <v>40</v>
      </c>
      <c r="B450" t="s">
        <v>41</v>
      </c>
      <c r="C450">
        <v>23404982.44196</v>
      </c>
      <c r="D450" t="s">
        <v>39</v>
      </c>
    </row>
    <row r="451" spans="1:4" x14ac:dyDescent="0.2">
      <c r="A451" t="s">
        <v>42</v>
      </c>
      <c r="B451" t="s">
        <v>43</v>
      </c>
      <c r="C451">
        <v>23396081.69162</v>
      </c>
      <c r="D451" t="s">
        <v>39</v>
      </c>
    </row>
    <row r="452" spans="1:4" x14ac:dyDescent="0.2">
      <c r="A452" t="s">
        <v>44</v>
      </c>
      <c r="B452" t="s">
        <v>45</v>
      </c>
      <c r="C452">
        <v>0.74300999999999995</v>
      </c>
      <c r="D452" t="s">
        <v>46</v>
      </c>
    </row>
    <row r="453" spans="1:4" x14ac:dyDescent="0.2">
      <c r="A453" t="s">
        <v>47</v>
      </c>
      <c r="B453" t="s">
        <v>48</v>
      </c>
      <c r="C453">
        <v>0.51956999999999998</v>
      </c>
      <c r="D453" t="s">
        <v>46</v>
      </c>
    </row>
    <row r="454" spans="1:4" x14ac:dyDescent="0.2">
      <c r="A454" t="s">
        <v>49</v>
      </c>
      <c r="B454" t="s">
        <v>50</v>
      </c>
      <c r="C454">
        <v>50.390990000000002</v>
      </c>
      <c r="D454" t="s">
        <v>25</v>
      </c>
    </row>
    <row r="455" spans="1:4" x14ac:dyDescent="0.2">
      <c r="A455" t="s">
        <v>51</v>
      </c>
      <c r="B455" t="s">
        <v>52</v>
      </c>
      <c r="C455">
        <v>141.53702999999999</v>
      </c>
      <c r="D455" t="s">
        <v>25</v>
      </c>
    </row>
    <row r="456" spans="1:4" x14ac:dyDescent="0.2">
      <c r="A456" t="s">
        <v>53</v>
      </c>
      <c r="B456" t="s">
        <v>54</v>
      </c>
      <c r="C456">
        <v>739.19572000000005</v>
      </c>
      <c r="D456" t="s">
        <v>25</v>
      </c>
    </row>
    <row r="461" spans="1:4" x14ac:dyDescent="0.2">
      <c r="A461" t="s">
        <v>0</v>
      </c>
    </row>
    <row r="462" spans="1:4" x14ac:dyDescent="0.2">
      <c r="A462" t="s">
        <v>161</v>
      </c>
    </row>
    <row r="464" spans="1:4" x14ac:dyDescent="0.2">
      <c r="A464" t="s">
        <v>7</v>
      </c>
      <c r="B464" t="s">
        <v>162</v>
      </c>
    </row>
    <row r="465" spans="1:4" x14ac:dyDescent="0.2">
      <c r="A465" t="s">
        <v>8</v>
      </c>
      <c r="B465" t="s">
        <v>9</v>
      </c>
    </row>
    <row r="466" spans="1:4" x14ac:dyDescent="0.2">
      <c r="A466" t="s">
        <v>10</v>
      </c>
      <c r="B466" t="s">
        <v>11</v>
      </c>
    </row>
    <row r="467" spans="1:4" x14ac:dyDescent="0.2">
      <c r="A467" t="s">
        <v>12</v>
      </c>
      <c r="B467" s="1">
        <v>8.1018518518518516E-5</v>
      </c>
    </row>
    <row r="468" spans="1:4" x14ac:dyDescent="0.2">
      <c r="A468" t="s">
        <v>13</v>
      </c>
      <c r="B468" t="s">
        <v>133</v>
      </c>
    </row>
    <row r="469" spans="1:4" x14ac:dyDescent="0.2">
      <c r="A469" t="s">
        <v>15</v>
      </c>
      <c r="B469" t="s">
        <v>134</v>
      </c>
    </row>
    <row r="471" spans="1:4" x14ac:dyDescent="0.2">
      <c r="A471" t="s">
        <v>17</v>
      </c>
    </row>
    <row r="472" spans="1:4" x14ac:dyDescent="0.2">
      <c r="A472" t="s">
        <v>18</v>
      </c>
    </row>
    <row r="473" spans="1:4" x14ac:dyDescent="0.2">
      <c r="A473" t="s">
        <v>19</v>
      </c>
      <c r="B473" t="s">
        <v>20</v>
      </c>
      <c r="C473" t="s">
        <v>21</v>
      </c>
      <c r="D473" t="s">
        <v>22</v>
      </c>
    </row>
    <row r="475" spans="1:4" x14ac:dyDescent="0.2">
      <c r="A475" t="s">
        <v>23</v>
      </c>
      <c r="C475">
        <v>300</v>
      </c>
    </row>
    <row r="476" spans="1:4" x14ac:dyDescent="0.2">
      <c r="A476" t="s">
        <v>24</v>
      </c>
      <c r="C476">
        <v>606</v>
      </c>
      <c r="D476" t="s">
        <v>25</v>
      </c>
    </row>
    <row r="477" spans="1:4" x14ac:dyDescent="0.2">
      <c r="A477" t="s">
        <v>26</v>
      </c>
      <c r="C477">
        <v>905</v>
      </c>
      <c r="D477" t="s">
        <v>25</v>
      </c>
    </row>
    <row r="478" spans="1:4" x14ac:dyDescent="0.2">
      <c r="A478" t="s">
        <v>27</v>
      </c>
      <c r="C478">
        <v>12.000909999999999</v>
      </c>
      <c r="D478" t="s">
        <v>28</v>
      </c>
    </row>
    <row r="479" spans="1:4" x14ac:dyDescent="0.2">
      <c r="A479" t="s">
        <v>5</v>
      </c>
      <c r="C479">
        <v>22</v>
      </c>
    </row>
    <row r="480" spans="1:4" x14ac:dyDescent="0.2">
      <c r="A480" t="s">
        <v>6</v>
      </c>
      <c r="C480">
        <v>88</v>
      </c>
    </row>
    <row r="482" spans="1:5" x14ac:dyDescent="0.2">
      <c r="A482" t="s">
        <v>29</v>
      </c>
      <c r="B482" t="s">
        <v>30</v>
      </c>
      <c r="C482">
        <v>45047024.766670004</v>
      </c>
      <c r="D482" t="s">
        <v>31</v>
      </c>
    </row>
    <row r="483" spans="1:5" x14ac:dyDescent="0.2">
      <c r="A483" t="s">
        <v>32</v>
      </c>
      <c r="B483" t="s">
        <v>33</v>
      </c>
      <c r="C483">
        <v>31500034.79583</v>
      </c>
      <c r="D483" t="s">
        <v>31</v>
      </c>
    </row>
    <row r="484" spans="1:5" x14ac:dyDescent="0.2">
      <c r="A484" t="s">
        <v>34</v>
      </c>
      <c r="B484" t="s">
        <v>35</v>
      </c>
      <c r="C484" s="2">
        <v>69.927000000000007</v>
      </c>
      <c r="D484" s="2" t="s">
        <v>36</v>
      </c>
      <c r="E484" s="2" t="s">
        <v>117</v>
      </c>
    </row>
    <row r="485" spans="1:5" x14ac:dyDescent="0.2">
      <c r="A485" t="s">
        <v>37</v>
      </c>
      <c r="B485" t="s">
        <v>38</v>
      </c>
      <c r="C485">
        <v>40328585.033830002</v>
      </c>
      <c r="D485" t="s">
        <v>39</v>
      </c>
    </row>
    <row r="486" spans="1:5" x14ac:dyDescent="0.2">
      <c r="A486" t="s">
        <v>40</v>
      </c>
      <c r="B486" t="s">
        <v>41</v>
      </c>
      <c r="C486">
        <v>23404982.44196</v>
      </c>
      <c r="D486" t="s">
        <v>39</v>
      </c>
    </row>
    <row r="487" spans="1:5" x14ac:dyDescent="0.2">
      <c r="A487" t="s">
        <v>42</v>
      </c>
      <c r="B487" t="s">
        <v>43</v>
      </c>
      <c r="C487">
        <v>23396081.69162</v>
      </c>
      <c r="D487" t="s">
        <v>39</v>
      </c>
    </row>
    <row r="488" spans="1:5" x14ac:dyDescent="0.2">
      <c r="A488" t="s">
        <v>44</v>
      </c>
      <c r="B488" t="s">
        <v>45</v>
      </c>
      <c r="C488">
        <v>0.74300999999999995</v>
      </c>
      <c r="D488" t="s">
        <v>46</v>
      </c>
    </row>
    <row r="489" spans="1:5" x14ac:dyDescent="0.2">
      <c r="A489" t="s">
        <v>47</v>
      </c>
      <c r="B489" t="s">
        <v>48</v>
      </c>
      <c r="C489">
        <v>0.51956999999999998</v>
      </c>
      <c r="D489" t="s">
        <v>46</v>
      </c>
    </row>
    <row r="490" spans="1:5" x14ac:dyDescent="0.2">
      <c r="A490" t="s">
        <v>49</v>
      </c>
      <c r="B490" t="s">
        <v>50</v>
      </c>
      <c r="C490">
        <v>50.390990000000002</v>
      </c>
      <c r="D490" t="s">
        <v>25</v>
      </c>
    </row>
    <row r="491" spans="1:5" x14ac:dyDescent="0.2">
      <c r="A491" t="s">
        <v>51</v>
      </c>
      <c r="B491" t="s">
        <v>52</v>
      </c>
      <c r="C491">
        <v>141.53702999999999</v>
      </c>
      <c r="D491" t="s">
        <v>25</v>
      </c>
    </row>
    <row r="492" spans="1:5" x14ac:dyDescent="0.2">
      <c r="A492" t="s">
        <v>53</v>
      </c>
      <c r="B492" t="s">
        <v>54</v>
      </c>
      <c r="C492">
        <v>739.19572000000005</v>
      </c>
      <c r="D492" t="s">
        <v>25</v>
      </c>
    </row>
    <row r="495" spans="1:5" x14ac:dyDescent="0.2">
      <c r="A495" s="5" t="s">
        <v>217</v>
      </c>
    </row>
    <row r="496" spans="1:5" x14ac:dyDescent="0.2">
      <c r="A496" t="s">
        <v>0</v>
      </c>
    </row>
    <row r="497" spans="1:2" x14ac:dyDescent="0.2">
      <c r="A497" t="s">
        <v>1</v>
      </c>
      <c r="B497" t="s">
        <v>163</v>
      </c>
    </row>
    <row r="499" spans="1:2" x14ac:dyDescent="0.2">
      <c r="A499" t="s">
        <v>0</v>
      </c>
    </row>
    <row r="500" spans="1:2" x14ac:dyDescent="0.2">
      <c r="A500" t="s">
        <v>164</v>
      </c>
    </row>
    <row r="501" spans="1:2" x14ac:dyDescent="0.2">
      <c r="A501" t="s">
        <v>3</v>
      </c>
      <c r="B501" t="s">
        <v>4</v>
      </c>
    </row>
    <row r="502" spans="1:2" x14ac:dyDescent="0.2">
      <c r="A502" t="s">
        <v>5</v>
      </c>
      <c r="B502">
        <v>16</v>
      </c>
    </row>
    <row r="503" spans="1:2" x14ac:dyDescent="0.2">
      <c r="A503" t="s">
        <v>6</v>
      </c>
      <c r="B503">
        <v>88</v>
      </c>
    </row>
    <row r="504" spans="1:2" x14ac:dyDescent="0.2">
      <c r="A504" t="s">
        <v>165</v>
      </c>
    </row>
    <row r="506" spans="1:2" x14ac:dyDescent="0.2">
      <c r="A506" t="s">
        <v>0</v>
      </c>
    </row>
    <row r="507" spans="1:2" x14ac:dyDescent="0.2">
      <c r="A507" t="s">
        <v>166</v>
      </c>
    </row>
    <row r="509" spans="1:2" x14ac:dyDescent="0.2">
      <c r="A509" t="s">
        <v>167</v>
      </c>
    </row>
    <row r="511" spans="1:2" x14ac:dyDescent="0.2">
      <c r="A511" t="s">
        <v>7</v>
      </c>
      <c r="B511" t="s">
        <v>168</v>
      </c>
    </row>
    <row r="512" spans="1:2" x14ac:dyDescent="0.2">
      <c r="A512" t="s">
        <v>8</v>
      </c>
      <c r="B512" t="s">
        <v>9</v>
      </c>
    </row>
    <row r="513" spans="1:4" x14ac:dyDescent="0.2">
      <c r="A513" t="s">
        <v>10</v>
      </c>
      <c r="B513" t="s">
        <v>11</v>
      </c>
    </row>
    <row r="514" spans="1:4" x14ac:dyDescent="0.2">
      <c r="A514" t="s">
        <v>12</v>
      </c>
      <c r="B514" s="1">
        <v>2.1064814814814813E-3</v>
      </c>
    </row>
    <row r="515" spans="1:4" x14ac:dyDescent="0.2">
      <c r="A515" t="s">
        <v>13</v>
      </c>
      <c r="B515" t="s">
        <v>169</v>
      </c>
    </row>
    <row r="516" spans="1:4" x14ac:dyDescent="0.2">
      <c r="A516" t="s">
        <v>15</v>
      </c>
      <c r="B516" t="s">
        <v>170</v>
      </c>
    </row>
    <row r="518" spans="1:4" x14ac:dyDescent="0.2">
      <c r="A518" t="s">
        <v>17</v>
      </c>
    </row>
    <row r="519" spans="1:4" x14ac:dyDescent="0.2">
      <c r="A519" t="s">
        <v>18</v>
      </c>
    </row>
    <row r="520" spans="1:4" x14ac:dyDescent="0.2">
      <c r="A520" t="s">
        <v>19</v>
      </c>
      <c r="B520" t="s">
        <v>20</v>
      </c>
      <c r="C520" t="s">
        <v>21</v>
      </c>
      <c r="D520" t="s">
        <v>22</v>
      </c>
    </row>
    <row r="522" spans="1:4" x14ac:dyDescent="0.2">
      <c r="A522" t="s">
        <v>23</v>
      </c>
      <c r="C522">
        <v>297</v>
      </c>
    </row>
    <row r="523" spans="1:4" x14ac:dyDescent="0.2">
      <c r="A523" t="s">
        <v>24</v>
      </c>
      <c r="C523">
        <v>610</v>
      </c>
      <c r="D523" t="s">
        <v>25</v>
      </c>
    </row>
    <row r="524" spans="1:4" x14ac:dyDescent="0.2">
      <c r="A524" t="s">
        <v>26</v>
      </c>
      <c r="C524">
        <v>906</v>
      </c>
      <c r="D524" t="s">
        <v>25</v>
      </c>
    </row>
    <row r="525" spans="1:4" x14ac:dyDescent="0.2">
      <c r="A525" t="s">
        <v>27</v>
      </c>
      <c r="C525">
        <v>12.000909999999999</v>
      </c>
      <c r="D525" t="s">
        <v>28</v>
      </c>
    </row>
    <row r="526" spans="1:4" x14ac:dyDescent="0.2">
      <c r="A526" t="s">
        <v>5</v>
      </c>
      <c r="C526">
        <v>16</v>
      </c>
    </row>
    <row r="527" spans="1:4" x14ac:dyDescent="0.2">
      <c r="A527" t="s">
        <v>6</v>
      </c>
      <c r="C527">
        <v>88</v>
      </c>
    </row>
    <row r="529" spans="1:7" x14ac:dyDescent="0.2">
      <c r="A529" t="s">
        <v>29</v>
      </c>
      <c r="B529" t="s">
        <v>30</v>
      </c>
      <c r="C529">
        <v>431070630.16667002</v>
      </c>
      <c r="D529" t="s">
        <v>31</v>
      </c>
    </row>
    <row r="530" spans="1:7" x14ac:dyDescent="0.2">
      <c r="A530" t="s">
        <v>32</v>
      </c>
      <c r="B530" t="s">
        <v>33</v>
      </c>
      <c r="C530">
        <v>345082395.58332998</v>
      </c>
      <c r="D530" t="s">
        <v>31</v>
      </c>
    </row>
    <row r="531" spans="1:7" x14ac:dyDescent="0.2">
      <c r="A531" t="s">
        <v>34</v>
      </c>
      <c r="B531" t="s">
        <v>35</v>
      </c>
      <c r="C531">
        <v>80.052400000000006</v>
      </c>
      <c r="D531" t="s">
        <v>36</v>
      </c>
      <c r="F531" s="2">
        <f>100-C531</f>
        <v>19.947599999999994</v>
      </c>
      <c r="G531" s="2" t="s">
        <v>118</v>
      </c>
    </row>
    <row r="532" spans="1:7" x14ac:dyDescent="0.2">
      <c r="A532" t="s">
        <v>37</v>
      </c>
      <c r="B532" t="s">
        <v>38</v>
      </c>
      <c r="C532">
        <v>4238789.8657299997</v>
      </c>
      <c r="D532" t="s">
        <v>39</v>
      </c>
    </row>
    <row r="533" spans="1:7" x14ac:dyDescent="0.2">
      <c r="A533" t="s">
        <v>40</v>
      </c>
      <c r="B533" t="s">
        <v>41</v>
      </c>
      <c r="C533">
        <v>72606472.99109</v>
      </c>
      <c r="D533" t="s">
        <v>39</v>
      </c>
    </row>
    <row r="534" spans="1:7" x14ac:dyDescent="0.2">
      <c r="A534" t="s">
        <v>42</v>
      </c>
      <c r="B534" t="s">
        <v>43</v>
      </c>
      <c r="C534">
        <v>2956165.6305200001</v>
      </c>
      <c r="D534" t="s">
        <v>39</v>
      </c>
    </row>
    <row r="535" spans="1:7" x14ac:dyDescent="0.2">
      <c r="A535" t="s">
        <v>44</v>
      </c>
      <c r="B535" t="s">
        <v>45</v>
      </c>
      <c r="C535">
        <v>0.2104</v>
      </c>
      <c r="D535" t="s">
        <v>46</v>
      </c>
    </row>
    <row r="536" spans="1:7" x14ac:dyDescent="0.2">
      <c r="A536" t="s">
        <v>47</v>
      </c>
      <c r="B536" t="s">
        <v>48</v>
      </c>
      <c r="C536">
        <v>0.16843</v>
      </c>
      <c r="D536" t="s">
        <v>46</v>
      </c>
    </row>
    <row r="537" spans="1:7" x14ac:dyDescent="0.2">
      <c r="A537" t="s">
        <v>49</v>
      </c>
      <c r="B537" t="s">
        <v>50</v>
      </c>
      <c r="C537">
        <v>-16.524819999999998</v>
      </c>
      <c r="D537" t="s">
        <v>25</v>
      </c>
    </row>
    <row r="538" spans="1:7" x14ac:dyDescent="0.2">
      <c r="A538" t="s">
        <v>51</v>
      </c>
      <c r="B538" t="s">
        <v>52</v>
      </c>
      <c r="C538">
        <v>2.7326000000000001</v>
      </c>
      <c r="D538" t="s">
        <v>25</v>
      </c>
    </row>
    <row r="539" spans="1:7" x14ac:dyDescent="0.2">
      <c r="A539" t="s">
        <v>53</v>
      </c>
      <c r="B539" t="s">
        <v>54</v>
      </c>
      <c r="C539">
        <v>755.32974000000002</v>
      </c>
      <c r="D539" t="s">
        <v>25</v>
      </c>
    </row>
    <row r="540" spans="1:7" x14ac:dyDescent="0.2">
      <c r="A540" t="s">
        <v>55</v>
      </c>
      <c r="B540" t="s">
        <v>56</v>
      </c>
      <c r="C540">
        <v>10.358449999999999</v>
      </c>
      <c r="D540" t="s">
        <v>25</v>
      </c>
    </row>
    <row r="541" spans="1:7" x14ac:dyDescent="0.2">
      <c r="A541" t="s">
        <v>57</v>
      </c>
      <c r="B541" t="s">
        <v>58</v>
      </c>
      <c r="C541">
        <v>7.7280000000000001E-2</v>
      </c>
      <c r="D541" t="s">
        <v>46</v>
      </c>
    </row>
    <row r="543" spans="1:7" x14ac:dyDescent="0.2">
      <c r="A543" t="s">
        <v>61</v>
      </c>
      <c r="B543" t="s">
        <v>56</v>
      </c>
    </row>
    <row r="544" spans="1:7" x14ac:dyDescent="0.2">
      <c r="A544" t="s">
        <v>62</v>
      </c>
      <c r="B544" t="s">
        <v>63</v>
      </c>
      <c r="C544" t="s">
        <v>64</v>
      </c>
      <c r="D544" t="s">
        <v>65</v>
      </c>
    </row>
    <row r="545" spans="1:4" x14ac:dyDescent="0.2">
      <c r="A545" t="s">
        <v>25</v>
      </c>
      <c r="B545" t="s">
        <v>25</v>
      </c>
      <c r="C545" t="s">
        <v>31</v>
      </c>
      <c r="D545" t="s">
        <v>36</v>
      </c>
    </row>
    <row r="546" spans="1:4" x14ac:dyDescent="0.2">
      <c r="A546" t="s">
        <v>66</v>
      </c>
      <c r="B546">
        <v>2</v>
      </c>
      <c r="C546">
        <v>1722479</v>
      </c>
      <c r="D546">
        <v>0.50229999999999997</v>
      </c>
    </row>
    <row r="547" spans="1:4" x14ac:dyDescent="0.2">
      <c r="A547" t="s">
        <v>67</v>
      </c>
      <c r="B547">
        <v>4</v>
      </c>
      <c r="C547">
        <v>13951416</v>
      </c>
      <c r="D547">
        <v>4.0682</v>
      </c>
    </row>
    <row r="548" spans="1:4" x14ac:dyDescent="0.2">
      <c r="A548" t="s">
        <v>68</v>
      </c>
      <c r="B548">
        <v>6</v>
      </c>
      <c r="C548">
        <v>28764012</v>
      </c>
      <c r="D548">
        <v>8.3876000000000008</v>
      </c>
    </row>
    <row r="549" spans="1:4" x14ac:dyDescent="0.2">
      <c r="A549" t="s">
        <v>69</v>
      </c>
      <c r="B549">
        <v>8</v>
      </c>
      <c r="C549">
        <v>70342473</v>
      </c>
      <c r="D549">
        <v>20.511800000000001</v>
      </c>
    </row>
    <row r="550" spans="1:4" x14ac:dyDescent="0.2">
      <c r="A550" t="s">
        <v>70</v>
      </c>
      <c r="B550">
        <v>10</v>
      </c>
      <c r="C550">
        <v>89549972</v>
      </c>
      <c r="D550">
        <v>26.1127</v>
      </c>
    </row>
    <row r="551" spans="1:4" x14ac:dyDescent="0.2">
      <c r="A551" t="s">
        <v>71</v>
      </c>
      <c r="B551">
        <v>12</v>
      </c>
      <c r="C551">
        <v>68152216</v>
      </c>
      <c r="D551">
        <v>19.873200000000001</v>
      </c>
    </row>
    <row r="552" spans="1:4" x14ac:dyDescent="0.2">
      <c r="A552" t="s">
        <v>72</v>
      </c>
      <c r="B552">
        <v>14</v>
      </c>
      <c r="C552">
        <v>47523375</v>
      </c>
      <c r="D552">
        <v>13.857799999999999</v>
      </c>
    </row>
    <row r="553" spans="1:4" x14ac:dyDescent="0.2">
      <c r="A553" t="s">
        <v>73</v>
      </c>
      <c r="B553">
        <v>16</v>
      </c>
      <c r="C553">
        <v>17797548</v>
      </c>
      <c r="D553">
        <v>5.1898</v>
      </c>
    </row>
    <row r="554" spans="1:4" x14ac:dyDescent="0.2">
      <c r="A554" t="s">
        <v>74</v>
      </c>
      <c r="B554">
        <v>18</v>
      </c>
      <c r="C554">
        <v>4270834</v>
      </c>
      <c r="D554">
        <v>1.2454000000000001</v>
      </c>
    </row>
    <row r="555" spans="1:4" x14ac:dyDescent="0.2">
      <c r="A555" t="s">
        <v>75</v>
      </c>
      <c r="B555">
        <v>20</v>
      </c>
      <c r="C555">
        <v>776374</v>
      </c>
      <c r="D555">
        <v>0.22639999999999999</v>
      </c>
    </row>
    <row r="556" spans="1:4" x14ac:dyDescent="0.2">
      <c r="A556" t="s">
        <v>76</v>
      </c>
      <c r="B556">
        <v>22</v>
      </c>
      <c r="C556">
        <v>78336</v>
      </c>
      <c r="D556">
        <v>2.2800000000000001E-2</v>
      </c>
    </row>
    <row r="557" spans="1:4" x14ac:dyDescent="0.2">
      <c r="A557" t="s">
        <v>80</v>
      </c>
      <c r="B557">
        <v>24</v>
      </c>
      <c r="C557">
        <v>7107</v>
      </c>
      <c r="D557">
        <v>2.0999999999999999E-3</v>
      </c>
    </row>
    <row r="558" spans="1:4" x14ac:dyDescent="0.2">
      <c r="A558" t="s">
        <v>77</v>
      </c>
      <c r="B558" t="s">
        <v>78</v>
      </c>
      <c r="C558">
        <v>3.1242399999999999</v>
      </c>
      <c r="D558" t="s">
        <v>25</v>
      </c>
    </row>
    <row r="562" spans="1:1" x14ac:dyDescent="0.2">
      <c r="A562" s="6" t="s">
        <v>229</v>
      </c>
    </row>
    <row r="563" spans="1:1" x14ac:dyDescent="0.2">
      <c r="A563" t="s">
        <v>0</v>
      </c>
    </row>
    <row r="564" spans="1:1" x14ac:dyDescent="0.2">
      <c r="A564" t="s">
        <v>171</v>
      </c>
    </row>
    <row r="566" spans="1:1" x14ac:dyDescent="0.2">
      <c r="A566" t="s">
        <v>172</v>
      </c>
    </row>
    <row r="567" spans="1:1" x14ac:dyDescent="0.2">
      <c r="A567" t="s">
        <v>140</v>
      </c>
    </row>
    <row r="568" spans="1:1" x14ac:dyDescent="0.2">
      <c r="A568" t="s">
        <v>173</v>
      </c>
    </row>
    <row r="570" spans="1:1" x14ac:dyDescent="0.2">
      <c r="A570" t="s">
        <v>0</v>
      </c>
    </row>
    <row r="571" spans="1:1" x14ac:dyDescent="0.2">
      <c r="A571" t="s">
        <v>174</v>
      </c>
    </row>
    <row r="572" spans="1:1" x14ac:dyDescent="0.2">
      <c r="A572" t="s">
        <v>143</v>
      </c>
    </row>
    <row r="573" spans="1:1" x14ac:dyDescent="0.2">
      <c r="A573" t="s">
        <v>175</v>
      </c>
    </row>
    <row r="575" spans="1:1" x14ac:dyDescent="0.2">
      <c r="A575" t="s">
        <v>0</v>
      </c>
    </row>
    <row r="576" spans="1:1" x14ac:dyDescent="0.2">
      <c r="A576" t="s">
        <v>176</v>
      </c>
    </row>
    <row r="578" spans="1:1" x14ac:dyDescent="0.2">
      <c r="A578" t="s">
        <v>177</v>
      </c>
    </row>
    <row r="579" spans="1:1" x14ac:dyDescent="0.2">
      <c r="A579" t="s">
        <v>140</v>
      </c>
    </row>
    <row r="580" spans="1:1" x14ac:dyDescent="0.2">
      <c r="A580" t="s">
        <v>147</v>
      </c>
    </row>
    <row r="581" spans="1:1" x14ac:dyDescent="0.2">
      <c r="A581" t="s">
        <v>173</v>
      </c>
    </row>
    <row r="583" spans="1:1" x14ac:dyDescent="0.2">
      <c r="A583" t="s">
        <v>0</v>
      </c>
    </row>
    <row r="585" spans="1:1" x14ac:dyDescent="0.2">
      <c r="A585" t="s">
        <v>0</v>
      </c>
    </row>
    <row r="586" spans="1:1" x14ac:dyDescent="0.2">
      <c r="A586" t="s">
        <v>178</v>
      </c>
    </row>
    <row r="587" spans="1:1" x14ac:dyDescent="0.2">
      <c r="A587" t="s">
        <v>143</v>
      </c>
    </row>
    <row r="588" spans="1:1" x14ac:dyDescent="0.2">
      <c r="A588" t="s">
        <v>179</v>
      </c>
    </row>
    <row r="590" spans="1:1" x14ac:dyDescent="0.2">
      <c r="A590" t="s">
        <v>0</v>
      </c>
    </row>
    <row r="591" spans="1:1" x14ac:dyDescent="0.2">
      <c r="A591" t="s">
        <v>180</v>
      </c>
    </row>
    <row r="592" spans="1:1" x14ac:dyDescent="0.2">
      <c r="A592" t="s">
        <v>100</v>
      </c>
    </row>
    <row r="593" spans="1:1" x14ac:dyDescent="0.2">
      <c r="A593" t="s">
        <v>181</v>
      </c>
    </row>
    <row r="595" spans="1:1" x14ac:dyDescent="0.2">
      <c r="A595" t="s">
        <v>0</v>
      </c>
    </row>
    <row r="596" spans="1:1" x14ac:dyDescent="0.2">
      <c r="A596" t="s">
        <v>182</v>
      </c>
    </row>
    <row r="597" spans="1:1" x14ac:dyDescent="0.2">
      <c r="A597" t="s">
        <v>109</v>
      </c>
    </row>
    <row r="598" spans="1:1" x14ac:dyDescent="0.2">
      <c r="A598" t="s">
        <v>104</v>
      </c>
    </row>
    <row r="599" spans="1:1" x14ac:dyDescent="0.2">
      <c r="A599" t="s">
        <v>183</v>
      </c>
    </row>
    <row r="601" spans="1:1" x14ac:dyDescent="0.2">
      <c r="A601" t="s">
        <v>0</v>
      </c>
    </row>
    <row r="602" spans="1:1" x14ac:dyDescent="0.2">
      <c r="A602" t="s">
        <v>184</v>
      </c>
    </row>
    <row r="603" spans="1:1" x14ac:dyDescent="0.2">
      <c r="A603" t="s">
        <v>107</v>
      </c>
    </row>
    <row r="605" spans="1:1" x14ac:dyDescent="0.2">
      <c r="A605" t="s">
        <v>0</v>
      </c>
    </row>
    <row r="606" spans="1:1" x14ac:dyDescent="0.2">
      <c r="A606" t="s">
        <v>185</v>
      </c>
    </row>
    <row r="607" spans="1:1" x14ac:dyDescent="0.2">
      <c r="A607" t="s">
        <v>113</v>
      </c>
    </row>
    <row r="608" spans="1:1" x14ac:dyDescent="0.2">
      <c r="A608" t="s">
        <v>186</v>
      </c>
    </row>
    <row r="610" spans="1:4" x14ac:dyDescent="0.2">
      <c r="A610" t="s">
        <v>0</v>
      </c>
    </row>
    <row r="612" spans="1:4" x14ac:dyDescent="0.2">
      <c r="A612" t="s">
        <v>0</v>
      </c>
    </row>
    <row r="613" spans="1:4" x14ac:dyDescent="0.2">
      <c r="A613" t="s">
        <v>187</v>
      </c>
    </row>
    <row r="615" spans="1:4" x14ac:dyDescent="0.2">
      <c r="A615" t="s">
        <v>7</v>
      </c>
      <c r="B615" t="s">
        <v>188</v>
      </c>
    </row>
    <row r="616" spans="1:4" x14ac:dyDescent="0.2">
      <c r="A616" t="s">
        <v>8</v>
      </c>
      <c r="B616" t="s">
        <v>9</v>
      </c>
    </row>
    <row r="617" spans="1:4" x14ac:dyDescent="0.2">
      <c r="A617" t="s">
        <v>10</v>
      </c>
      <c r="B617" t="s">
        <v>11</v>
      </c>
    </row>
    <row r="618" spans="1:4" x14ac:dyDescent="0.2">
      <c r="A618" t="s">
        <v>12</v>
      </c>
      <c r="B618" s="1">
        <v>6.9444444444444444E-5</v>
      </c>
    </row>
    <row r="619" spans="1:4" x14ac:dyDescent="0.2">
      <c r="A619" t="s">
        <v>13</v>
      </c>
      <c r="B619" t="s">
        <v>169</v>
      </c>
    </row>
    <row r="620" spans="1:4" x14ac:dyDescent="0.2">
      <c r="A620" t="s">
        <v>15</v>
      </c>
      <c r="B620" t="s">
        <v>170</v>
      </c>
    </row>
    <row r="622" spans="1:4" x14ac:dyDescent="0.2">
      <c r="A622" t="s">
        <v>17</v>
      </c>
    </row>
    <row r="623" spans="1:4" x14ac:dyDescent="0.2">
      <c r="A623" t="s">
        <v>18</v>
      </c>
    </row>
    <row r="624" spans="1:4" x14ac:dyDescent="0.2">
      <c r="A624" t="s">
        <v>19</v>
      </c>
      <c r="B624" t="s">
        <v>20</v>
      </c>
      <c r="C624" t="s">
        <v>21</v>
      </c>
      <c r="D624" t="s">
        <v>22</v>
      </c>
    </row>
    <row r="626" spans="1:5" x14ac:dyDescent="0.2">
      <c r="A626" t="s">
        <v>23</v>
      </c>
      <c r="C626">
        <v>297</v>
      </c>
    </row>
    <row r="627" spans="1:5" x14ac:dyDescent="0.2">
      <c r="A627" t="s">
        <v>24</v>
      </c>
      <c r="C627">
        <v>610</v>
      </c>
      <c r="D627" t="s">
        <v>25</v>
      </c>
    </row>
    <row r="628" spans="1:5" x14ac:dyDescent="0.2">
      <c r="A628" t="s">
        <v>26</v>
      </c>
      <c r="C628">
        <v>906</v>
      </c>
      <c r="D628" t="s">
        <v>25</v>
      </c>
    </row>
    <row r="629" spans="1:5" x14ac:dyDescent="0.2">
      <c r="A629" t="s">
        <v>27</v>
      </c>
      <c r="C629">
        <v>12.000909999999999</v>
      </c>
      <c r="D629" t="s">
        <v>28</v>
      </c>
    </row>
    <row r="630" spans="1:5" x14ac:dyDescent="0.2">
      <c r="A630" t="s">
        <v>5</v>
      </c>
      <c r="C630">
        <v>16</v>
      </c>
    </row>
    <row r="631" spans="1:5" x14ac:dyDescent="0.2">
      <c r="A631" t="s">
        <v>6</v>
      </c>
      <c r="C631">
        <v>88</v>
      </c>
    </row>
    <row r="633" spans="1:5" x14ac:dyDescent="0.2">
      <c r="A633" t="s">
        <v>29</v>
      </c>
      <c r="B633" t="s">
        <v>30</v>
      </c>
      <c r="C633">
        <v>71878856.341670007</v>
      </c>
      <c r="D633" t="s">
        <v>31</v>
      </c>
    </row>
    <row r="634" spans="1:5" x14ac:dyDescent="0.2">
      <c r="A634" t="s">
        <v>32</v>
      </c>
      <c r="B634" t="s">
        <v>33</v>
      </c>
      <c r="C634">
        <v>61866391.695830002</v>
      </c>
      <c r="D634" t="s">
        <v>31</v>
      </c>
    </row>
    <row r="635" spans="1:5" x14ac:dyDescent="0.2">
      <c r="A635" t="s">
        <v>34</v>
      </c>
      <c r="B635" t="s">
        <v>35</v>
      </c>
      <c r="C635" s="2">
        <v>86.070359999999994</v>
      </c>
      <c r="D635" s="2" t="s">
        <v>36</v>
      </c>
      <c r="E635" s="2" t="s">
        <v>117</v>
      </c>
    </row>
    <row r="636" spans="1:5" x14ac:dyDescent="0.2">
      <c r="A636" t="s">
        <v>37</v>
      </c>
      <c r="B636" t="s">
        <v>38</v>
      </c>
      <c r="C636">
        <v>49449868.129929997</v>
      </c>
      <c r="D636" t="s">
        <v>39</v>
      </c>
    </row>
    <row r="637" spans="1:5" x14ac:dyDescent="0.2">
      <c r="A637" t="s">
        <v>40</v>
      </c>
      <c r="B637" t="s">
        <v>41</v>
      </c>
      <c r="C637">
        <v>36676239.062870003</v>
      </c>
      <c r="D637" t="s">
        <v>39</v>
      </c>
    </row>
    <row r="638" spans="1:5" x14ac:dyDescent="0.2">
      <c r="A638" t="s">
        <v>42</v>
      </c>
      <c r="B638" t="s">
        <v>43</v>
      </c>
      <c r="C638">
        <v>36666321.157990001</v>
      </c>
      <c r="D638" t="s">
        <v>39</v>
      </c>
    </row>
    <row r="639" spans="1:5" x14ac:dyDescent="0.2">
      <c r="A639" t="s">
        <v>44</v>
      </c>
      <c r="B639" t="s">
        <v>45</v>
      </c>
      <c r="C639">
        <v>0.59282999999999997</v>
      </c>
      <c r="D639" t="s">
        <v>46</v>
      </c>
    </row>
    <row r="640" spans="1:5" x14ac:dyDescent="0.2">
      <c r="A640" t="s">
        <v>47</v>
      </c>
      <c r="B640" t="s">
        <v>48</v>
      </c>
      <c r="C640">
        <v>0.51024999999999998</v>
      </c>
      <c r="D640" t="s">
        <v>46</v>
      </c>
    </row>
    <row r="641" spans="1:4" x14ac:dyDescent="0.2">
      <c r="A641" t="s">
        <v>49</v>
      </c>
      <c r="B641" t="s">
        <v>50</v>
      </c>
      <c r="C641">
        <v>77.684240000000003</v>
      </c>
      <c r="D641" t="s">
        <v>25</v>
      </c>
    </row>
    <row r="642" spans="1:4" x14ac:dyDescent="0.2">
      <c r="A642" t="s">
        <v>51</v>
      </c>
      <c r="B642" t="s">
        <v>52</v>
      </c>
      <c r="C642">
        <v>134.08582000000001</v>
      </c>
      <c r="D642" t="s">
        <v>25</v>
      </c>
    </row>
    <row r="643" spans="1:4" x14ac:dyDescent="0.2">
      <c r="A643" t="s">
        <v>53</v>
      </c>
      <c r="B643" t="s">
        <v>54</v>
      </c>
      <c r="C643">
        <v>754.32516999999996</v>
      </c>
      <c r="D643" t="s">
        <v>25</v>
      </c>
    </row>
    <row r="646" spans="1:4" x14ac:dyDescent="0.2">
      <c r="A646" s="5" t="s">
        <v>218</v>
      </c>
    </row>
    <row r="647" spans="1:4" x14ac:dyDescent="0.2">
      <c r="A647" t="s">
        <v>0</v>
      </c>
    </row>
    <row r="648" spans="1:4" x14ac:dyDescent="0.2">
      <c r="A648" t="s">
        <v>1</v>
      </c>
      <c r="B648" t="s">
        <v>189</v>
      </c>
    </row>
    <row r="650" spans="1:4" x14ac:dyDescent="0.2">
      <c r="A650" t="s">
        <v>0</v>
      </c>
    </row>
    <row r="651" spans="1:4" x14ac:dyDescent="0.2">
      <c r="A651" t="s">
        <v>1</v>
      </c>
      <c r="B651" t="s">
        <v>189</v>
      </c>
    </row>
    <row r="653" spans="1:4" x14ac:dyDescent="0.2">
      <c r="A653" t="s">
        <v>0</v>
      </c>
    </row>
    <row r="654" spans="1:4" x14ac:dyDescent="0.2">
      <c r="A654" t="s">
        <v>190</v>
      </c>
    </row>
    <row r="655" spans="1:4" x14ac:dyDescent="0.2">
      <c r="A655" t="s">
        <v>3</v>
      </c>
      <c r="B655" t="s">
        <v>4</v>
      </c>
    </row>
    <row r="656" spans="1:4" x14ac:dyDescent="0.2">
      <c r="A656" t="s">
        <v>5</v>
      </c>
      <c r="B656">
        <v>16</v>
      </c>
    </row>
    <row r="657" spans="1:2" x14ac:dyDescent="0.2">
      <c r="A657" t="s">
        <v>6</v>
      </c>
      <c r="B657">
        <v>88</v>
      </c>
    </row>
    <row r="658" spans="1:2" x14ac:dyDescent="0.2">
      <c r="A658" t="s">
        <v>191</v>
      </c>
    </row>
    <row r="660" spans="1:2" x14ac:dyDescent="0.2">
      <c r="A660" t="s">
        <v>0</v>
      </c>
    </row>
    <row r="661" spans="1:2" x14ac:dyDescent="0.2">
      <c r="A661" t="s">
        <v>192</v>
      </c>
    </row>
    <row r="663" spans="1:2" x14ac:dyDescent="0.2">
      <c r="A663" t="s">
        <v>193</v>
      </c>
    </row>
    <row r="665" spans="1:2" x14ac:dyDescent="0.2">
      <c r="A665" t="s">
        <v>7</v>
      </c>
      <c r="B665" t="s">
        <v>194</v>
      </c>
    </row>
    <row r="666" spans="1:2" x14ac:dyDescent="0.2">
      <c r="A666" t="s">
        <v>8</v>
      </c>
      <c r="B666" t="s">
        <v>9</v>
      </c>
    </row>
    <row r="667" spans="1:2" x14ac:dyDescent="0.2">
      <c r="A667" t="s">
        <v>10</v>
      </c>
      <c r="B667" t="s">
        <v>11</v>
      </c>
    </row>
    <row r="668" spans="1:2" x14ac:dyDescent="0.2">
      <c r="A668" t="s">
        <v>12</v>
      </c>
      <c r="B668" s="1">
        <v>2.4421296296296296E-3</v>
      </c>
    </row>
    <row r="669" spans="1:2" x14ac:dyDescent="0.2">
      <c r="A669" t="s">
        <v>13</v>
      </c>
      <c r="B669" t="s">
        <v>133</v>
      </c>
    </row>
    <row r="670" spans="1:2" x14ac:dyDescent="0.2">
      <c r="A670" t="s">
        <v>15</v>
      </c>
      <c r="B670" t="s">
        <v>195</v>
      </c>
    </row>
    <row r="672" spans="1:2" x14ac:dyDescent="0.2">
      <c r="A672" t="s">
        <v>17</v>
      </c>
    </row>
    <row r="673" spans="1:6" x14ac:dyDescent="0.2">
      <c r="A673" t="s">
        <v>18</v>
      </c>
    </row>
    <row r="674" spans="1:6" x14ac:dyDescent="0.2">
      <c r="A674" t="s">
        <v>19</v>
      </c>
      <c r="B674" t="s">
        <v>20</v>
      </c>
      <c r="C674" t="s">
        <v>21</v>
      </c>
      <c r="D674" t="s">
        <v>22</v>
      </c>
    </row>
    <row r="676" spans="1:6" x14ac:dyDescent="0.2">
      <c r="A676" t="s">
        <v>23</v>
      </c>
      <c r="C676">
        <v>289</v>
      </c>
    </row>
    <row r="677" spans="1:6" x14ac:dyDescent="0.2">
      <c r="A677" t="s">
        <v>24</v>
      </c>
      <c r="C677">
        <v>617</v>
      </c>
      <c r="D677" t="s">
        <v>25</v>
      </c>
    </row>
    <row r="678" spans="1:6" x14ac:dyDescent="0.2">
      <c r="A678" t="s">
        <v>26</v>
      </c>
      <c r="C678">
        <v>905</v>
      </c>
      <c r="D678" t="s">
        <v>25</v>
      </c>
    </row>
    <row r="679" spans="1:6" x14ac:dyDescent="0.2">
      <c r="A679" t="s">
        <v>27</v>
      </c>
      <c r="C679">
        <v>12.000909999999999</v>
      </c>
      <c r="D679" t="s">
        <v>28</v>
      </c>
    </row>
    <row r="680" spans="1:6" x14ac:dyDescent="0.2">
      <c r="A680" t="s">
        <v>5</v>
      </c>
      <c r="C680">
        <v>16</v>
      </c>
    </row>
    <row r="681" spans="1:6" x14ac:dyDescent="0.2">
      <c r="A681" t="s">
        <v>6</v>
      </c>
      <c r="C681">
        <v>88</v>
      </c>
    </row>
    <row r="683" spans="1:6" x14ac:dyDescent="0.2">
      <c r="A683" t="s">
        <v>29</v>
      </c>
      <c r="B683" t="s">
        <v>30</v>
      </c>
      <c r="C683">
        <v>405983798.16667002</v>
      </c>
      <c r="D683" t="s">
        <v>31</v>
      </c>
    </row>
    <row r="684" spans="1:6" x14ac:dyDescent="0.2">
      <c r="A684" t="s">
        <v>32</v>
      </c>
      <c r="B684" t="s">
        <v>33</v>
      </c>
      <c r="C684">
        <v>334042844.13332999</v>
      </c>
      <c r="D684" t="s">
        <v>31</v>
      </c>
    </row>
    <row r="685" spans="1:6" x14ac:dyDescent="0.2">
      <c r="A685" t="s">
        <v>34</v>
      </c>
      <c r="B685" t="s">
        <v>35</v>
      </c>
      <c r="C685">
        <v>82.279849999999996</v>
      </c>
      <c r="D685" t="s">
        <v>36</v>
      </c>
      <c r="E685" s="2">
        <f>100-C685</f>
        <v>17.720150000000004</v>
      </c>
      <c r="F685" s="2" t="s">
        <v>118</v>
      </c>
    </row>
    <row r="686" spans="1:6" x14ac:dyDescent="0.2">
      <c r="A686" t="s">
        <v>37</v>
      </c>
      <c r="B686" t="s">
        <v>38</v>
      </c>
      <c r="C686">
        <v>4088154.6324800001</v>
      </c>
      <c r="D686" t="s">
        <v>39</v>
      </c>
    </row>
    <row r="687" spans="1:6" x14ac:dyDescent="0.2">
      <c r="A687" t="s">
        <v>40</v>
      </c>
      <c r="B687" t="s">
        <v>41</v>
      </c>
      <c r="C687">
        <v>50163999.98443</v>
      </c>
      <c r="D687" t="s">
        <v>39</v>
      </c>
    </row>
    <row r="688" spans="1:6" x14ac:dyDescent="0.2">
      <c r="A688" t="s">
        <v>42</v>
      </c>
      <c r="B688" t="s">
        <v>43</v>
      </c>
      <c r="C688">
        <v>2208410.2040800001</v>
      </c>
      <c r="D688" t="s">
        <v>39</v>
      </c>
    </row>
    <row r="689" spans="1:4" x14ac:dyDescent="0.2">
      <c r="A689" t="s">
        <v>44</v>
      </c>
      <c r="B689" t="s">
        <v>45</v>
      </c>
      <c r="C689">
        <v>0.15017</v>
      </c>
      <c r="D689" t="s">
        <v>46</v>
      </c>
    </row>
    <row r="690" spans="1:4" x14ac:dyDescent="0.2">
      <c r="A690" t="s">
        <v>47</v>
      </c>
      <c r="B690" t="s">
        <v>48</v>
      </c>
      <c r="C690">
        <v>0.12356</v>
      </c>
      <c r="D690" t="s">
        <v>46</v>
      </c>
    </row>
    <row r="691" spans="1:4" x14ac:dyDescent="0.2">
      <c r="A691" t="s">
        <v>49</v>
      </c>
      <c r="B691" t="s">
        <v>50</v>
      </c>
      <c r="C691">
        <v>-16.59479</v>
      </c>
      <c r="D691" t="s">
        <v>25</v>
      </c>
    </row>
    <row r="692" spans="1:4" x14ac:dyDescent="0.2">
      <c r="A692" t="s">
        <v>51</v>
      </c>
      <c r="B692" t="s">
        <v>52</v>
      </c>
      <c r="C692">
        <v>-13.495799999999999</v>
      </c>
      <c r="D692" t="s">
        <v>25</v>
      </c>
    </row>
    <row r="693" spans="1:4" x14ac:dyDescent="0.2">
      <c r="A693" t="s">
        <v>53</v>
      </c>
      <c r="B693" t="s">
        <v>54</v>
      </c>
      <c r="C693">
        <v>762.41236000000004</v>
      </c>
      <c r="D693" t="s">
        <v>25</v>
      </c>
    </row>
    <row r="694" spans="1:4" x14ac:dyDescent="0.2">
      <c r="A694" t="s">
        <v>55</v>
      </c>
      <c r="B694" t="s">
        <v>56</v>
      </c>
      <c r="C694">
        <v>16.139279999999999</v>
      </c>
      <c r="D694" t="s">
        <v>25</v>
      </c>
    </row>
    <row r="695" spans="1:4" x14ac:dyDescent="0.2">
      <c r="A695" t="s">
        <v>57</v>
      </c>
      <c r="B695" t="s">
        <v>58</v>
      </c>
      <c r="C695">
        <v>5.0979999999999998E-2</v>
      </c>
      <c r="D695" t="s">
        <v>46</v>
      </c>
    </row>
    <row r="697" spans="1:4" x14ac:dyDescent="0.2">
      <c r="A697" t="s">
        <v>61</v>
      </c>
      <c r="B697" t="s">
        <v>56</v>
      </c>
    </row>
    <row r="698" spans="1:4" x14ac:dyDescent="0.2">
      <c r="A698" t="s">
        <v>62</v>
      </c>
      <c r="B698" t="s">
        <v>63</v>
      </c>
      <c r="C698" t="s">
        <v>64</v>
      </c>
      <c r="D698" t="s">
        <v>65</v>
      </c>
    </row>
    <row r="699" spans="1:4" x14ac:dyDescent="0.2">
      <c r="A699" t="s">
        <v>25</v>
      </c>
      <c r="B699" t="s">
        <v>25</v>
      </c>
      <c r="C699" t="s">
        <v>31</v>
      </c>
      <c r="D699" t="s">
        <v>36</v>
      </c>
    </row>
    <row r="700" spans="1:4" x14ac:dyDescent="0.2">
      <c r="A700" t="s">
        <v>66</v>
      </c>
      <c r="B700">
        <v>2</v>
      </c>
      <c r="C700">
        <v>1942588</v>
      </c>
      <c r="D700">
        <v>0.58350000000000002</v>
      </c>
    </row>
    <row r="701" spans="1:4" x14ac:dyDescent="0.2">
      <c r="A701" t="s">
        <v>67</v>
      </c>
      <c r="B701">
        <v>4</v>
      </c>
      <c r="C701">
        <v>11294487</v>
      </c>
      <c r="D701">
        <v>3.3925000000000001</v>
      </c>
    </row>
    <row r="702" spans="1:4" x14ac:dyDescent="0.2">
      <c r="A702" t="s">
        <v>68</v>
      </c>
      <c r="B702">
        <v>6</v>
      </c>
      <c r="C702">
        <v>17211952</v>
      </c>
      <c r="D702">
        <v>5.1698000000000004</v>
      </c>
    </row>
    <row r="703" spans="1:4" x14ac:dyDescent="0.2">
      <c r="A703" t="s">
        <v>69</v>
      </c>
      <c r="B703">
        <v>8</v>
      </c>
      <c r="C703">
        <v>30947799</v>
      </c>
      <c r="D703">
        <v>9.2956000000000003</v>
      </c>
    </row>
    <row r="704" spans="1:4" x14ac:dyDescent="0.2">
      <c r="A704" t="s">
        <v>70</v>
      </c>
      <c r="B704">
        <v>10</v>
      </c>
      <c r="C704">
        <v>35849630</v>
      </c>
      <c r="D704">
        <v>10.767899999999999</v>
      </c>
    </row>
    <row r="705" spans="1:4" x14ac:dyDescent="0.2">
      <c r="A705" t="s">
        <v>71</v>
      </c>
      <c r="B705">
        <v>12</v>
      </c>
      <c r="C705">
        <v>32789392</v>
      </c>
      <c r="D705">
        <v>9.8486999999999991</v>
      </c>
    </row>
    <row r="706" spans="1:4" x14ac:dyDescent="0.2">
      <c r="A706" t="s">
        <v>72</v>
      </c>
      <c r="B706">
        <v>14</v>
      </c>
      <c r="C706">
        <v>36705812</v>
      </c>
      <c r="D706">
        <v>11.0251</v>
      </c>
    </row>
    <row r="707" spans="1:4" x14ac:dyDescent="0.2">
      <c r="A707" t="s">
        <v>73</v>
      </c>
      <c r="B707">
        <v>16</v>
      </c>
      <c r="C707">
        <v>31095050</v>
      </c>
      <c r="D707">
        <v>9.3398000000000003</v>
      </c>
    </row>
    <row r="708" spans="1:4" x14ac:dyDescent="0.2">
      <c r="A708" t="s">
        <v>74</v>
      </c>
      <c r="B708">
        <v>18</v>
      </c>
      <c r="C708">
        <v>24535652</v>
      </c>
      <c r="D708">
        <v>7.3696000000000002</v>
      </c>
    </row>
    <row r="709" spans="1:4" x14ac:dyDescent="0.2">
      <c r="A709" t="s">
        <v>75</v>
      </c>
      <c r="B709">
        <v>20</v>
      </c>
      <c r="C709">
        <v>22268377</v>
      </c>
      <c r="D709">
        <v>6.6886000000000001</v>
      </c>
    </row>
    <row r="710" spans="1:4" x14ac:dyDescent="0.2">
      <c r="A710" t="s">
        <v>76</v>
      </c>
      <c r="B710">
        <v>22</v>
      </c>
      <c r="C710">
        <v>20846934</v>
      </c>
      <c r="D710">
        <v>6.2617000000000003</v>
      </c>
    </row>
    <row r="711" spans="1:4" x14ac:dyDescent="0.2">
      <c r="A711" t="s">
        <v>80</v>
      </c>
      <c r="B711">
        <v>24</v>
      </c>
      <c r="C711">
        <v>18424482</v>
      </c>
      <c r="D711">
        <v>5.5339999999999998</v>
      </c>
    </row>
    <row r="712" spans="1:4" x14ac:dyDescent="0.2">
      <c r="A712" t="s">
        <v>81</v>
      </c>
      <c r="B712">
        <v>26</v>
      </c>
      <c r="C712">
        <v>16548894</v>
      </c>
      <c r="D712">
        <v>4.9706999999999999</v>
      </c>
    </row>
    <row r="713" spans="1:4" x14ac:dyDescent="0.2">
      <c r="A713" t="s">
        <v>82</v>
      </c>
      <c r="B713">
        <v>28</v>
      </c>
      <c r="C713">
        <v>12575519</v>
      </c>
      <c r="D713">
        <v>3.7772000000000001</v>
      </c>
    </row>
    <row r="714" spans="1:4" x14ac:dyDescent="0.2">
      <c r="A714" t="s">
        <v>83</v>
      </c>
      <c r="B714">
        <v>30</v>
      </c>
      <c r="C714">
        <v>9103243</v>
      </c>
      <c r="D714">
        <v>2.7343000000000002</v>
      </c>
    </row>
    <row r="715" spans="1:4" x14ac:dyDescent="0.2">
      <c r="A715" t="s">
        <v>84</v>
      </c>
      <c r="B715">
        <v>32</v>
      </c>
      <c r="C715">
        <v>5098785</v>
      </c>
      <c r="D715">
        <v>1.5315000000000001</v>
      </c>
    </row>
    <row r="716" spans="1:4" x14ac:dyDescent="0.2">
      <c r="A716" t="s">
        <v>85</v>
      </c>
      <c r="B716">
        <v>34</v>
      </c>
      <c r="C716">
        <v>3081229</v>
      </c>
      <c r="D716">
        <v>0.92549999999999999</v>
      </c>
    </row>
    <row r="717" spans="1:4" x14ac:dyDescent="0.2">
      <c r="A717" t="s">
        <v>86</v>
      </c>
      <c r="B717">
        <v>36</v>
      </c>
      <c r="C717">
        <v>1319736</v>
      </c>
      <c r="D717">
        <v>0.39639999999999997</v>
      </c>
    </row>
    <row r="718" spans="1:4" x14ac:dyDescent="0.2">
      <c r="A718" t="s">
        <v>135</v>
      </c>
      <c r="B718">
        <v>38</v>
      </c>
      <c r="C718">
        <v>713185</v>
      </c>
      <c r="D718">
        <v>0.2142</v>
      </c>
    </row>
    <row r="719" spans="1:4" x14ac:dyDescent="0.2">
      <c r="A719" t="s">
        <v>136</v>
      </c>
      <c r="B719">
        <v>40</v>
      </c>
      <c r="C719">
        <v>218692</v>
      </c>
      <c r="D719">
        <v>6.5699999999999995E-2</v>
      </c>
    </row>
    <row r="720" spans="1:4" x14ac:dyDescent="0.2">
      <c r="A720" t="s">
        <v>137</v>
      </c>
      <c r="B720">
        <v>42</v>
      </c>
      <c r="C720">
        <v>205502</v>
      </c>
      <c r="D720">
        <v>6.1699999999999998E-2</v>
      </c>
    </row>
    <row r="721" spans="1:4" x14ac:dyDescent="0.2">
      <c r="A721" t="s">
        <v>196</v>
      </c>
      <c r="B721">
        <v>44</v>
      </c>
      <c r="C721">
        <v>153139</v>
      </c>
      <c r="D721">
        <v>4.5999999999999999E-2</v>
      </c>
    </row>
    <row r="722" spans="1:4" x14ac:dyDescent="0.2">
      <c r="A722" t="s">
        <v>77</v>
      </c>
      <c r="B722" t="s">
        <v>78</v>
      </c>
      <c r="C722">
        <v>7.52658</v>
      </c>
      <c r="D722" t="s">
        <v>25</v>
      </c>
    </row>
    <row r="726" spans="1:4" x14ac:dyDescent="0.2">
      <c r="A726" s="6" t="s">
        <v>230</v>
      </c>
    </row>
    <row r="727" spans="1:4" x14ac:dyDescent="0.2">
      <c r="A727" t="s">
        <v>0</v>
      </c>
    </row>
    <row r="728" spans="1:4" x14ac:dyDescent="0.2">
      <c r="A728" t="s">
        <v>197</v>
      </c>
    </row>
    <row r="730" spans="1:4" x14ac:dyDescent="0.2">
      <c r="A730" t="s">
        <v>198</v>
      </c>
    </row>
    <row r="731" spans="1:4" x14ac:dyDescent="0.2">
      <c r="A731" t="s">
        <v>140</v>
      </c>
    </row>
    <row r="732" spans="1:4" x14ac:dyDescent="0.2">
      <c r="A732" t="s">
        <v>199</v>
      </c>
    </row>
    <row r="734" spans="1:4" x14ac:dyDescent="0.2">
      <c r="A734" t="s">
        <v>0</v>
      </c>
    </row>
    <row r="735" spans="1:4" x14ac:dyDescent="0.2">
      <c r="A735" t="s">
        <v>200</v>
      </c>
    </row>
    <row r="736" spans="1:4" x14ac:dyDescent="0.2">
      <c r="A736" t="s">
        <v>143</v>
      </c>
    </row>
    <row r="737" spans="1:1" x14ac:dyDescent="0.2">
      <c r="A737" t="s">
        <v>201</v>
      </c>
    </row>
    <row r="739" spans="1:1" x14ac:dyDescent="0.2">
      <c r="A739" t="s">
        <v>0</v>
      </c>
    </row>
    <row r="740" spans="1:1" x14ac:dyDescent="0.2">
      <c r="A740" t="s">
        <v>202</v>
      </c>
    </row>
    <row r="742" spans="1:1" x14ac:dyDescent="0.2">
      <c r="A742" t="s">
        <v>203</v>
      </c>
    </row>
    <row r="743" spans="1:1" x14ac:dyDescent="0.2">
      <c r="A743" t="s">
        <v>140</v>
      </c>
    </row>
    <row r="744" spans="1:1" x14ac:dyDescent="0.2">
      <c r="A744" t="s">
        <v>147</v>
      </c>
    </row>
    <row r="745" spans="1:1" x14ac:dyDescent="0.2">
      <c r="A745" t="s">
        <v>199</v>
      </c>
    </row>
    <row r="747" spans="1:1" x14ac:dyDescent="0.2">
      <c r="A747" t="s">
        <v>0</v>
      </c>
    </row>
    <row r="749" spans="1:1" x14ac:dyDescent="0.2">
      <c r="A749" t="s">
        <v>0</v>
      </c>
    </row>
    <row r="750" spans="1:1" x14ac:dyDescent="0.2">
      <c r="A750" t="s">
        <v>204</v>
      </c>
    </row>
    <row r="751" spans="1:1" x14ac:dyDescent="0.2">
      <c r="A751" t="s">
        <v>143</v>
      </c>
    </row>
    <row r="752" spans="1:1" x14ac:dyDescent="0.2">
      <c r="A752" t="s">
        <v>205</v>
      </c>
    </row>
    <row r="754" spans="1:1" x14ac:dyDescent="0.2">
      <c r="A754" t="s">
        <v>0</v>
      </c>
    </row>
    <row r="755" spans="1:1" x14ac:dyDescent="0.2">
      <c r="A755" t="s">
        <v>206</v>
      </c>
    </row>
    <row r="756" spans="1:1" x14ac:dyDescent="0.2">
      <c r="A756" t="s">
        <v>100</v>
      </c>
    </row>
    <row r="757" spans="1:1" x14ac:dyDescent="0.2">
      <c r="A757" t="s">
        <v>207</v>
      </c>
    </row>
    <row r="759" spans="1:1" x14ac:dyDescent="0.2">
      <c r="A759" t="s">
        <v>0</v>
      </c>
    </row>
    <row r="760" spans="1:1" x14ac:dyDescent="0.2">
      <c r="A760" t="s">
        <v>208</v>
      </c>
    </row>
    <row r="761" spans="1:1" x14ac:dyDescent="0.2">
      <c r="A761" t="s">
        <v>109</v>
      </c>
    </row>
    <row r="762" spans="1:1" x14ac:dyDescent="0.2">
      <c r="A762" t="s">
        <v>104</v>
      </c>
    </row>
    <row r="763" spans="1:1" x14ac:dyDescent="0.2">
      <c r="A763" t="s">
        <v>209</v>
      </c>
    </row>
    <row r="765" spans="1:1" x14ac:dyDescent="0.2">
      <c r="A765" t="s">
        <v>0</v>
      </c>
    </row>
    <row r="766" spans="1:1" x14ac:dyDescent="0.2">
      <c r="A766" t="s">
        <v>210</v>
      </c>
    </row>
    <row r="767" spans="1:1" x14ac:dyDescent="0.2">
      <c r="A767" t="s">
        <v>107</v>
      </c>
    </row>
    <row r="769" spans="1:2" x14ac:dyDescent="0.2">
      <c r="A769" t="s">
        <v>0</v>
      </c>
    </row>
    <row r="770" spans="1:2" x14ac:dyDescent="0.2">
      <c r="A770" t="s">
        <v>211</v>
      </c>
    </row>
    <row r="771" spans="1:2" x14ac:dyDescent="0.2">
      <c r="A771" t="s">
        <v>113</v>
      </c>
    </row>
    <row r="772" spans="1:2" x14ac:dyDescent="0.2">
      <c r="A772" t="s">
        <v>212</v>
      </c>
    </row>
    <row r="774" spans="1:2" x14ac:dyDescent="0.2">
      <c r="A774" t="s">
        <v>0</v>
      </c>
    </row>
    <row r="775" spans="1:2" x14ac:dyDescent="0.2">
      <c r="A775" t="s">
        <v>213</v>
      </c>
    </row>
    <row r="777" spans="1:2" x14ac:dyDescent="0.2">
      <c r="A777" t="s">
        <v>7</v>
      </c>
      <c r="B777" t="s">
        <v>214</v>
      </c>
    </row>
    <row r="778" spans="1:2" x14ac:dyDescent="0.2">
      <c r="A778" t="s">
        <v>8</v>
      </c>
      <c r="B778" t="s">
        <v>9</v>
      </c>
    </row>
    <row r="779" spans="1:2" x14ac:dyDescent="0.2">
      <c r="A779" t="s">
        <v>10</v>
      </c>
      <c r="B779" t="s">
        <v>11</v>
      </c>
    </row>
    <row r="780" spans="1:2" x14ac:dyDescent="0.2">
      <c r="A780" t="s">
        <v>12</v>
      </c>
      <c r="B780" s="1">
        <v>6.9444444444444444E-5</v>
      </c>
    </row>
    <row r="781" spans="1:2" x14ac:dyDescent="0.2">
      <c r="A781" t="s">
        <v>13</v>
      </c>
      <c r="B781" t="s">
        <v>133</v>
      </c>
    </row>
    <row r="782" spans="1:2" x14ac:dyDescent="0.2">
      <c r="A782" t="s">
        <v>15</v>
      </c>
      <c r="B782" t="s">
        <v>195</v>
      </c>
    </row>
    <row r="784" spans="1:2" x14ac:dyDescent="0.2">
      <c r="A784" t="s">
        <v>17</v>
      </c>
    </row>
    <row r="785" spans="1:5" x14ac:dyDescent="0.2">
      <c r="A785" t="s">
        <v>18</v>
      </c>
    </row>
    <row r="786" spans="1:5" x14ac:dyDescent="0.2">
      <c r="A786" t="s">
        <v>19</v>
      </c>
      <c r="B786" t="s">
        <v>20</v>
      </c>
      <c r="C786" t="s">
        <v>21</v>
      </c>
      <c r="D786" t="s">
        <v>22</v>
      </c>
    </row>
    <row r="788" spans="1:5" x14ac:dyDescent="0.2">
      <c r="A788" t="s">
        <v>23</v>
      </c>
      <c r="C788">
        <v>289</v>
      </c>
    </row>
    <row r="789" spans="1:5" x14ac:dyDescent="0.2">
      <c r="A789" t="s">
        <v>24</v>
      </c>
      <c r="C789">
        <v>617</v>
      </c>
      <c r="D789" t="s">
        <v>25</v>
      </c>
    </row>
    <row r="790" spans="1:5" x14ac:dyDescent="0.2">
      <c r="A790" t="s">
        <v>26</v>
      </c>
      <c r="C790">
        <v>905</v>
      </c>
      <c r="D790" t="s">
        <v>25</v>
      </c>
    </row>
    <row r="791" spans="1:5" x14ac:dyDescent="0.2">
      <c r="A791" t="s">
        <v>27</v>
      </c>
      <c r="C791">
        <v>12.000909999999999</v>
      </c>
      <c r="D791" t="s">
        <v>28</v>
      </c>
    </row>
    <row r="792" spans="1:5" x14ac:dyDescent="0.2">
      <c r="A792" t="s">
        <v>5</v>
      </c>
      <c r="C792">
        <v>16</v>
      </c>
    </row>
    <row r="793" spans="1:5" x14ac:dyDescent="0.2">
      <c r="A793" t="s">
        <v>6</v>
      </c>
      <c r="C793">
        <v>88</v>
      </c>
    </row>
    <row r="795" spans="1:5" x14ac:dyDescent="0.2">
      <c r="A795" t="s">
        <v>29</v>
      </c>
      <c r="B795" t="s">
        <v>30</v>
      </c>
      <c r="C795">
        <v>85876693.495829999</v>
      </c>
      <c r="D795" t="s">
        <v>31</v>
      </c>
    </row>
    <row r="796" spans="1:5" x14ac:dyDescent="0.2">
      <c r="A796" t="s">
        <v>32</v>
      </c>
      <c r="B796" t="s">
        <v>33</v>
      </c>
      <c r="C796">
        <v>66900547.345830001</v>
      </c>
      <c r="D796" t="s">
        <v>31</v>
      </c>
    </row>
    <row r="797" spans="1:5" x14ac:dyDescent="0.2">
      <c r="A797" t="s">
        <v>34</v>
      </c>
      <c r="B797" t="s">
        <v>35</v>
      </c>
      <c r="C797" s="2">
        <v>77.903030000000001</v>
      </c>
      <c r="D797" s="2" t="s">
        <v>36</v>
      </c>
      <c r="E797" s="2" t="s">
        <v>117</v>
      </c>
    </row>
    <row r="798" spans="1:5" x14ac:dyDescent="0.2">
      <c r="A798" t="s">
        <v>37</v>
      </c>
      <c r="B798" t="s">
        <v>38</v>
      </c>
      <c r="C798">
        <v>70210253.723539993</v>
      </c>
      <c r="D798" t="s">
        <v>39</v>
      </c>
    </row>
    <row r="799" spans="1:5" x14ac:dyDescent="0.2">
      <c r="A799" t="s">
        <v>40</v>
      </c>
      <c r="B799" t="s">
        <v>41</v>
      </c>
      <c r="C799">
        <v>47702785.809380002</v>
      </c>
      <c r="D799" t="s">
        <v>39</v>
      </c>
    </row>
    <row r="800" spans="1:5" x14ac:dyDescent="0.2">
      <c r="A800" t="s">
        <v>42</v>
      </c>
      <c r="B800" t="s">
        <v>43</v>
      </c>
      <c r="C800">
        <v>47685464.504890002</v>
      </c>
      <c r="D800" t="s">
        <v>39</v>
      </c>
    </row>
    <row r="801" spans="1:4" x14ac:dyDescent="0.2">
      <c r="A801" t="s">
        <v>44</v>
      </c>
      <c r="B801" t="s">
        <v>45</v>
      </c>
      <c r="C801">
        <v>0.71304000000000001</v>
      </c>
      <c r="D801" t="s">
        <v>46</v>
      </c>
    </row>
    <row r="802" spans="1:4" x14ac:dyDescent="0.2">
      <c r="A802" t="s">
        <v>47</v>
      </c>
      <c r="B802" t="s">
        <v>48</v>
      </c>
      <c r="C802">
        <v>0.55547999999999997</v>
      </c>
      <c r="D802" t="s">
        <v>46</v>
      </c>
    </row>
    <row r="803" spans="1:4" x14ac:dyDescent="0.2">
      <c r="A803" t="s">
        <v>49</v>
      </c>
      <c r="B803" t="s">
        <v>50</v>
      </c>
      <c r="C803">
        <v>142.98667</v>
      </c>
      <c r="D803" t="s">
        <v>25</v>
      </c>
    </row>
    <row r="804" spans="1:4" x14ac:dyDescent="0.2">
      <c r="A804" t="s">
        <v>51</v>
      </c>
      <c r="B804" t="s">
        <v>52</v>
      </c>
      <c r="C804">
        <v>-26.073509999999999</v>
      </c>
      <c r="D804" t="s">
        <v>25</v>
      </c>
    </row>
    <row r="805" spans="1:4" x14ac:dyDescent="0.2">
      <c r="A805" t="s">
        <v>53</v>
      </c>
      <c r="B805" t="s">
        <v>54</v>
      </c>
      <c r="C805">
        <v>777.54274999999996</v>
      </c>
      <c r="D805" t="s">
        <v>25</v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Ngoma, Mary C</dc:creator>
  <cp:lastModifiedBy>Ngoma, Mary C</cp:lastModifiedBy>
  <dcterms:created xsi:type="dcterms:W3CDTF">2025-04-09T22:34:28Z</dcterms:created>
  <dcterms:modified xsi:type="dcterms:W3CDTF">2026-01-15T00:26:18Z</dcterms:modified>
</cp:coreProperties>
</file>