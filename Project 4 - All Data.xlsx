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jit0-my.sharepoint.com/personal/ok62_njit_edu/Documents/GGES Group Research/Current/Mary Ngoma/Rock Bio-Invasion/Project 5 - Hydraulic properties/Supporting Data/"/>
    </mc:Choice>
  </mc:AlternateContent>
  <xr:revisionPtr revIDLastSave="1" documentId="8_{661A2B57-902E-4235-BA44-53BAEE3249E4}" xr6:coauthVersionLast="47" xr6:coauthVersionMax="47" xr10:uidLastSave="{641FD224-C1E1-4B47-BFA6-84F4632D0CC4}"/>
  <bookViews>
    <workbookView xWindow="-38510" yWindow="-5220" windowWidth="38620" windowHeight="21100" xr2:uid="{00000000-000D-0000-FFFF-FFFF00000000}"/>
  </bookViews>
  <sheets>
    <sheet name="Permeability_Micro-Macro" sheetId="3" r:id="rId1"/>
    <sheet name="Porosity_micro-macro" sheetId="5" r:id="rId2"/>
    <sheet name="Porosity_EICPvsBP" sheetId="7" r:id="rId3"/>
    <sheet name="Micro_CT" sheetId="13" r:id="rId4"/>
    <sheet name="MacroPorosity" sheetId="9" r:id="rId5"/>
    <sheet name="MacroPermeability" sheetId="10" r:id="rId6"/>
    <sheet name="MacroPermeability @600" sheetId="11" r:id="rId7"/>
    <sheet name="MacroPermeability @2600" sheetId="12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8" i="13" l="1"/>
  <c r="F524" i="13"/>
  <c r="E292" i="13"/>
  <c r="F39" i="13"/>
  <c r="C20" i="12"/>
  <c r="C19" i="12"/>
  <c r="C18" i="12"/>
  <c r="H12" i="12"/>
  <c r="E12" i="12"/>
  <c r="B12" i="12"/>
  <c r="H11" i="12"/>
  <c r="E11" i="12"/>
  <c r="B11" i="12"/>
  <c r="J10" i="12"/>
  <c r="H10" i="12"/>
  <c r="I10" i="12" s="1"/>
  <c r="D20" i="12" s="1"/>
  <c r="E10" i="12"/>
  <c r="G10" i="12" s="1"/>
  <c r="B10" i="12"/>
  <c r="D10" i="12" s="1"/>
  <c r="J3" i="12"/>
  <c r="I3" i="12"/>
  <c r="G3" i="12"/>
  <c r="F3" i="12"/>
  <c r="D3" i="12"/>
  <c r="C3" i="12"/>
  <c r="C20" i="11"/>
  <c r="C19" i="11"/>
  <c r="C18" i="11"/>
  <c r="H12" i="11"/>
  <c r="E12" i="11"/>
  <c r="B12" i="11"/>
  <c r="H11" i="11"/>
  <c r="E11" i="11"/>
  <c r="B11" i="11"/>
  <c r="H10" i="11"/>
  <c r="J10" i="11" s="1"/>
  <c r="G10" i="11"/>
  <c r="E10" i="11"/>
  <c r="F10" i="11" s="1"/>
  <c r="D19" i="11" s="1"/>
  <c r="B10" i="11"/>
  <c r="D10" i="11" s="1"/>
  <c r="J3" i="11"/>
  <c r="I3" i="11"/>
  <c r="G3" i="11"/>
  <c r="F3" i="11"/>
  <c r="D3" i="11"/>
  <c r="C3" i="11"/>
  <c r="J9" i="10"/>
  <c r="I9" i="10"/>
  <c r="G9" i="10"/>
  <c r="F9" i="10"/>
  <c r="D9" i="10"/>
  <c r="C9" i="10"/>
  <c r="J6" i="10"/>
  <c r="I6" i="10"/>
  <c r="G6" i="10"/>
  <c r="F6" i="10"/>
  <c r="D6" i="10"/>
  <c r="C6" i="10"/>
  <c r="J3" i="10"/>
  <c r="I3" i="10"/>
  <c r="G3" i="10"/>
  <c r="F3" i="10"/>
  <c r="D3" i="10"/>
  <c r="C3" i="10"/>
  <c r="E4" i="9"/>
  <c r="E3" i="9"/>
  <c r="C10" i="12" l="1"/>
  <c r="D18" i="12" s="1"/>
  <c r="F10" i="12"/>
  <c r="D19" i="12" s="1"/>
  <c r="I10" i="11"/>
  <c r="D20" i="11" s="1"/>
  <c r="C10" i="11"/>
  <c r="D18" i="11" s="1"/>
  <c r="E20" i="12" l="1"/>
  <c r="E19" i="12"/>
  <c r="E20" i="11"/>
  <c r="E19" i="11"/>
</calcChain>
</file>

<file path=xl/sharedStrings.xml><?xml version="1.0" encoding="utf-8"?>
<sst xmlns="http://schemas.openxmlformats.org/spreadsheetml/2006/main" count="1288" uniqueCount="262">
  <si>
    <t>Category</t>
  </si>
  <si>
    <t>Micro Scale</t>
  </si>
  <si>
    <t>Macro Scale</t>
  </si>
  <si>
    <t>EICP_Before</t>
  </si>
  <si>
    <t>EICP_After</t>
  </si>
  <si>
    <t>BP_Before</t>
  </si>
  <si>
    <t>BP_After</t>
  </si>
  <si>
    <t>BOTH MACRO (EICP vs BP)</t>
  </si>
  <si>
    <t>BOTH MICRO (EICP vs BP)</t>
  </si>
  <si>
    <t>Sample #</t>
  </si>
  <si>
    <t>SB1</t>
  </si>
  <si>
    <t>SB2</t>
  </si>
  <si>
    <t>SB3</t>
  </si>
  <si>
    <t>Porosity Micro</t>
  </si>
  <si>
    <t>Porosity Macro</t>
  </si>
  <si>
    <t>SM1_1</t>
  </si>
  <si>
    <t>SM2_1</t>
  </si>
  <si>
    <t>SM1_2</t>
  </si>
  <si>
    <t>SM2_2</t>
  </si>
  <si>
    <t xml:space="preserve"> BOTH MICRO (EICP vs BP)	</t>
  </si>
  <si>
    <t xml:space="preserve"> BOTH MACRO (EICP vs BP)	</t>
  </si>
  <si>
    <t>Porosity</t>
  </si>
  <si>
    <t>Bulk Density</t>
  </si>
  <si>
    <t>Grain Density</t>
  </si>
  <si>
    <t>% Change</t>
  </si>
  <si>
    <t>Confining Stress (psi)</t>
  </si>
  <si>
    <t>Perm (Darcy)</t>
  </si>
  <si>
    <t>Avg. Perm (Darcy)</t>
  </si>
  <si>
    <t>Std. Dev (Darcy)</t>
  </si>
  <si>
    <t>SB1  @600 psi</t>
  </si>
  <si>
    <t>SB2  @600 psi</t>
  </si>
  <si>
    <t>SB3  @600 psi</t>
  </si>
  <si>
    <t>Perm (mD)</t>
  </si>
  <si>
    <t>Avg. Perm (mD)</t>
  </si>
  <si>
    <t>Std. Dev (mD)</t>
  </si>
  <si>
    <t>Range from 54.9 mD to 56.19 mD</t>
  </si>
  <si>
    <t>Range from 18.3 mD to 20.99 mD</t>
  </si>
  <si>
    <t>Range from 38.5 mD to 40.10 mD</t>
  </si>
  <si>
    <t>% change</t>
  </si>
  <si>
    <t xml:space="preserve"> </t>
  </si>
  <si>
    <t>SB1 @2600 psi</t>
  </si>
  <si>
    <t>SB2  @2600 psi</t>
  </si>
  <si>
    <t>SB3  @2600 psi</t>
  </si>
  <si>
    <t>SB1  @2600 psi</t>
  </si>
  <si>
    <t>SM1 (BEFORE EICP TREATMENT)</t>
  </si>
  <si>
    <t>-----------------------------------------------------------------</t>
  </si>
  <si>
    <t>Loaded dataset:</t>
  </si>
  <si>
    <t xml:space="preserve"> H:\Results - 2\Mary Ngoma\SM1\SM1_Rec\VOI(2)\sm1_rec_voi_</t>
  </si>
  <si>
    <t>[ 03/31/25 17:59:36 ] Thresholding</t>
  </si>
  <si>
    <t>Mode</t>
  </si>
  <si>
    <t xml:space="preserve"> Global</t>
  </si>
  <si>
    <t>Lower grey threshold</t>
  </si>
  <si>
    <t>Upper grey threshold</t>
  </si>
  <si>
    <t>[ 03/31/25 17:59:38 ]	Thresholding done</t>
  </si>
  <si>
    <t>[ 03/31/25 18:03:11 ]	3D analysis</t>
  </si>
  <si>
    <t>Destination folder of images of Trabecular thickness: H:\Results - 2\Mary Ngoma\SM1\SM1_Rec\VOI(2)\TBTH(4)</t>
  </si>
  <si>
    <t>Destination folder of images of Trabecular separation: H:\Results - 2\Mary Ngoma\SM1\SM1_Rec\VOI(2)\TBSP(4)</t>
  </si>
  <si>
    <t>Date and time</t>
  </si>
  <si>
    <t>31.03.2025 18:03</t>
  </si>
  <si>
    <t>Operator identity</t>
  </si>
  <si>
    <t>ORDUser</t>
  </si>
  <si>
    <t>Computer name</t>
  </si>
  <si>
    <t>SKYCAD</t>
  </si>
  <si>
    <t>Computation time</t>
  </si>
  <si>
    <t>Dataset</t>
  </si>
  <si>
    <t>sm1_rec_voi_</t>
  </si>
  <si>
    <t>Location</t>
  </si>
  <si>
    <t>H:\Results - 2\Mary Ngoma\SM1\SM1_Rec\VOI(2)\</t>
  </si>
  <si>
    <t>MORPHOMETRY RESULTS</t>
  </si>
  <si>
    <t>----------------------------</t>
  </si>
  <si>
    <t>Description</t>
  </si>
  <si>
    <t>Abbreviation</t>
  </si>
  <si>
    <t>Value</t>
  </si>
  <si>
    <t>Unit</t>
  </si>
  <si>
    <t>Number of layers</t>
  </si>
  <si>
    <t>Lower vertical position</t>
  </si>
  <si>
    <t>pixel</t>
  </si>
  <si>
    <t>Upper vertical position</t>
  </si>
  <si>
    <t>Pixel size</t>
  </si>
  <si>
    <t>um</t>
  </si>
  <si>
    <t>Tissue volume</t>
  </si>
  <si>
    <t>TV</t>
  </si>
  <si>
    <t>pixel^3</t>
  </si>
  <si>
    <t>Bone volume</t>
  </si>
  <si>
    <t>BV</t>
  </si>
  <si>
    <t>Percent bone volume</t>
  </si>
  <si>
    <t>BV/TV</t>
  </si>
  <si>
    <t>%</t>
  </si>
  <si>
    <t>Tissue surface</t>
  </si>
  <si>
    <t>TS</t>
  </si>
  <si>
    <t>pixel^2</t>
  </si>
  <si>
    <t>Bone surface</t>
  </si>
  <si>
    <t>BS</t>
  </si>
  <si>
    <t>Intersection surface</t>
  </si>
  <si>
    <t>i.S</t>
  </si>
  <si>
    <t>Bone surface / volume ratio</t>
  </si>
  <si>
    <t>BS/BV</t>
  </si>
  <si>
    <t>1/pixel</t>
  </si>
  <si>
    <t>Bone surface density</t>
  </si>
  <si>
    <t>BS/TV</t>
  </si>
  <si>
    <t>Centroid (x)</t>
  </si>
  <si>
    <t>Crd.X</t>
  </si>
  <si>
    <t>Centroid (y)</t>
  </si>
  <si>
    <t>Crd.Y</t>
  </si>
  <si>
    <t>Centroid (z)</t>
  </si>
  <si>
    <t>Crd.Z</t>
  </si>
  <si>
    <t>Trabecular thickness</t>
  </si>
  <si>
    <t>Tb.Th</t>
  </si>
  <si>
    <t>Trabecular number</t>
  </si>
  <si>
    <t>Tb.N</t>
  </si>
  <si>
    <t>Trabecular separation</t>
  </si>
  <si>
    <t>Tb.Sp</t>
  </si>
  <si>
    <t>Trabecular thickness distribution</t>
  </si>
  <si>
    <t>Range</t>
  </si>
  <si>
    <t>Mid-range</t>
  </si>
  <si>
    <t>Volume</t>
  </si>
  <si>
    <t>Percent volume in range</t>
  </si>
  <si>
    <t>1.0 - &lt;3.0</t>
  </si>
  <si>
    <t>3.0 - &lt;5.0</t>
  </si>
  <si>
    <t>5.0 - &lt;7.0</t>
  </si>
  <si>
    <t>7.0 - &lt;9.0</t>
  </si>
  <si>
    <t>9.0 - &lt;11.0</t>
  </si>
  <si>
    <t>11.0 - &lt;13.0</t>
  </si>
  <si>
    <t>13.0 - &lt;15.0</t>
  </si>
  <si>
    <t>15.0 - &lt;17.0</t>
  </si>
  <si>
    <t>17.0 - &lt;19.0</t>
  </si>
  <si>
    <t>19.0 - &lt;21.0</t>
  </si>
  <si>
    <t>21.0 - &lt;23.0</t>
  </si>
  <si>
    <t>23.0 - &lt;25.0</t>
  </si>
  <si>
    <t>25.0 - &lt;27.0</t>
  </si>
  <si>
    <t>Standard deviation of trabecular thickness</t>
  </si>
  <si>
    <t>SD(Tb.Th)</t>
  </si>
  <si>
    <t>Trabecular separation distribution</t>
  </si>
  <si>
    <t>27.0 - &lt;29.0</t>
  </si>
  <si>
    <t>29.0 - &lt;31.0</t>
  </si>
  <si>
    <t>31.0 - &lt;33.0</t>
  </si>
  <si>
    <t>33.0 - &lt;35.0</t>
  </si>
  <si>
    <t>35.0 - &lt;37.0</t>
  </si>
  <si>
    <t>Standard deviation of trabecular separation</t>
  </si>
  <si>
    <t>SD(Tb.Sp)</t>
  </si>
  <si>
    <t>[ 03/31/25 18:08:11 ]	3D analysis</t>
  </si>
  <si>
    <t>Destination folder of images of Trabecular thickness: H:\Results - 2\Mary Ngoma\SM1\SM1_Rec\VOI(2)\TBTH(5)</t>
  </si>
  <si>
    <t>Destination folder of images of Trabecular separation: H:\Results - 2\Mary Ngoma\SM1\SM1_Rec\VOI(2)\TBSP(5)</t>
  </si>
  <si>
    <t>31.03.2025 18:08</t>
  </si>
  <si>
    <t>[ 03/31/25 18:20:59 ]	Bitwise operations</t>
  </si>
  <si>
    <t>&lt;Image&gt; = &lt;Region of Interest&gt; XOR &lt;Image&gt;</t>
  </si>
  <si>
    <t>[ 03/31/25 18:21:02 ]	Bitwise operations done</t>
  </si>
  <si>
    <t>[ 03/31/25 18:22:32 ]	Primitive ROI</t>
  </si>
  <si>
    <t>Bottom edge</t>
  </si>
  <si>
    <t>Infimum</t>
  </si>
  <si>
    <t>[ 03/31/25 18:22:33 ]	Primitive ROI done</t>
  </si>
  <si>
    <t>[ 03/31/25 18:25:17 ]	ROI shrink-wrap</t>
  </si>
  <si>
    <t>Mode : Adaptive (3D space)</t>
  </si>
  <si>
    <t>[ 03/31/25 18:26:09 ]	Primitive ROI</t>
  </si>
  <si>
    <t>Top edge</t>
  </si>
  <si>
    <t>[ 03/31/25 18:26:10 ]	Primitive ROI done</t>
  </si>
  <si>
    <t>[ 03/31/25 18:27:59 ]	ROI shrink-wrap</t>
  </si>
  <si>
    <t>[ 03/31/25 18:30:19 ]	Bitwise operations</t>
  </si>
  <si>
    <t>&lt;Image&gt; = SWAP &lt;Region of Interest&gt;</t>
  </si>
  <si>
    <t>[ 03/31/25 18:30:21 ]	Bitwise operations done</t>
  </si>
  <si>
    <t>[ 03/31/25 18:31:00 ]	3D analysis</t>
  </si>
  <si>
    <t>31.03.2025 18:31</t>
  </si>
  <si>
    <t>Connectivity</t>
  </si>
  <si>
    <t>SM1 (AFTER EICP TREATMENT)</t>
  </si>
  <si>
    <t xml:space="preserve"> H:\Results - 2\Mary Ngoma\SM1_after\SM1_AFTER_Rec\VOI(1)\sm1_after_rec_voi_</t>
  </si>
  <si>
    <t>[ 02/27/25 15:25:51 ] Thresholding (3D space) inside VOI</t>
  </si>
  <si>
    <t xml:space="preserve"> Multilevel (Otsu method)</t>
  </si>
  <si>
    <t>Output color of class thresholding</t>
  </si>
  <si>
    <t xml:space="preserve"> Mean intensity in class</t>
  </si>
  <si>
    <t>Number of threshold levels</t>
  </si>
  <si>
    <t>Level 1</t>
  </si>
  <si>
    <t>Level 2</t>
  </si>
  <si>
    <t>[ 02/27/25 15:25:55 ]	Thresholding done</t>
  </si>
  <si>
    <t>[ 04/02/25 19:24:54 ] Thresholding</t>
  </si>
  <si>
    <t>[ 04/02/25 19:24:56 ]	Thresholding done</t>
  </si>
  <si>
    <t>[ 04/02/25 19:26:49 ]	3D analysis</t>
  </si>
  <si>
    <t>Destination folder of images of Trabecular thickness: H:\Results - 2\Mary Ngoma\SM1_after\SM1_AFTER_Rec\VOI(1)\TBTH(1)</t>
  </si>
  <si>
    <t>02.04.2025 19:26</t>
  </si>
  <si>
    <t>sm1_after_rec_voi_</t>
  </si>
  <si>
    <t>H:\Results - 2\Mary Ngoma\SM1_after\SM1_AFTER_Rec\VOI(1)\</t>
  </si>
  <si>
    <t>37.0 - &lt;39.0</t>
  </si>
  <si>
    <t>39.0 - &lt;41.0</t>
  </si>
  <si>
    <t>41.0 - &lt;43.0</t>
  </si>
  <si>
    <t>[ 04/02/25 19:31:51 ]	Save bitmaps (only image)</t>
  </si>
  <si>
    <t>Destination folder: H:\Results - 2\Mary Ngoma\SM1_after\SM1_AFTER_Rec\VOI(1)\IMG(1)</t>
  </si>
  <si>
    <t>File format: bmp</t>
  </si>
  <si>
    <t>Number of saved files: 300</t>
  </si>
  <si>
    <t>[ 04/02/25 19:32:55 ]	Bitwise operations</t>
  </si>
  <si>
    <t>&lt;Image&gt; = NOT &lt;Image&gt;</t>
  </si>
  <si>
    <t>[ 04/02/25 19:32:56 ]	Bitwise operations done</t>
  </si>
  <si>
    <t>[ 04/02/25 19:33:19 ]	Save bitmaps (image inside ROI)</t>
  </si>
  <si>
    <t>Destination folder: H:\Results - 2\Mary Ngoma\SM1_after\SM1_AFTER_Rec\VOI(1)\VOI(1)</t>
  </si>
  <si>
    <t>Resize to the ROI bounds: Off</t>
  </si>
  <si>
    <t>[ 04/02/25 19:34:37 ]	Bitwise operations</t>
  </si>
  <si>
    <t>[ 04/02/25 19:34:38 ]	Bitwise operations done</t>
  </si>
  <si>
    <t>[ 04/02/25 19:34:52 ]	Bitwise operations</t>
  </si>
  <si>
    <t>[ 04/02/25 19:34:55 ]	Bitwise operations done</t>
  </si>
  <si>
    <t>[ 04/02/25 19:35:12 ]	Primitive ROI</t>
  </si>
  <si>
    <t>[ 04/02/25 19:35:13 ]	Primitive ROI done</t>
  </si>
  <si>
    <t>[ 04/02/25 19:36:47 ]	ROI shrink-wrap</t>
  </si>
  <si>
    <t>[ 04/02/25 19:37:25 ]	Bitwise operations</t>
  </si>
  <si>
    <t>[ 04/02/25 19:37:27 ]	Bitwise operations done</t>
  </si>
  <si>
    <t>[ 04/02/25 19:37:55 ]	3D analysis</t>
  </si>
  <si>
    <t>02.04.2025 19:37</t>
  </si>
  <si>
    <t>[ 04/02/25 19:38:23 ]	3D analysis</t>
  </si>
  <si>
    <t>02.04.2025 19:38</t>
  </si>
  <si>
    <t>[ 04/02/25 19:39:34 ]	3D analysis</t>
  </si>
  <si>
    <t>02.04.2025 19:39</t>
  </si>
  <si>
    <t>SM2 (BEFORE BIOPOLYMER TREATMENT)</t>
  </si>
  <si>
    <t xml:space="preserve"> H:\Results - 2\Mary Ngoma\SM2\SM2_Rec\VOI(1)\sm2_rec_voi_</t>
  </si>
  <si>
    <t>[ 04/02/25 20:28:01 ] Thresholding</t>
  </si>
  <si>
    <t>[ 04/02/25 20:28:03 ]	Thresholding done</t>
  </si>
  <si>
    <t>[ 04/02/25 20:28:14 ]	3D analysis</t>
  </si>
  <si>
    <t>Destination folder of images of Trabecular thickness: H:\Results - 2\Mary Ngoma\SM2\SM2_Rec\VOI(1)\TBTH(5)</t>
  </si>
  <si>
    <t>02.04.2025 20:28</t>
  </si>
  <si>
    <t>sm2_rec_voi_</t>
  </si>
  <si>
    <t>H:\Results - 2\Mary Ngoma\SM2\SM2_Rec\VOI(1)\</t>
  </si>
  <si>
    <t>[ 04/02/25 20:34:11 ]	Save bitmaps (only image)</t>
  </si>
  <si>
    <t>Destination folder: H:\Results - 2\Mary Ngoma\SM2\SM2_Rec\VOI(1)\IMG</t>
  </si>
  <si>
    <t>Number of saved files: 297</t>
  </si>
  <si>
    <t>[ 04/02/25 20:35:15 ]	Bitwise operations</t>
  </si>
  <si>
    <t>[ 04/02/25 20:35:16 ]	Bitwise operations done</t>
  </si>
  <si>
    <t>[ 04/02/25 20:36:16 ]	Save bitmaps (image inside ROI)</t>
  </si>
  <si>
    <t>Destination folder: H:\Results - 2\Mary Ngoma\SM2\SM2_Rec\VOI(1)\VOI</t>
  </si>
  <si>
    <t>[ 04/02/25 20:38:45 ]	Bitwise operations</t>
  </si>
  <si>
    <t>[ 04/02/25 20:38:46 ]	Bitwise operations done</t>
  </si>
  <si>
    <t>[ 04/02/25 20:40:42 ]	Bitwise operations</t>
  </si>
  <si>
    <t>[ 04/02/25 20:40:45 ]	Bitwise operations done</t>
  </si>
  <si>
    <t>[ 04/02/25 20:43:18 ]	Primitive ROI</t>
  </si>
  <si>
    <t>[ 04/02/25 20:43:20 ]	Primitive ROI done</t>
  </si>
  <si>
    <t>[ 04/02/25 20:45:51 ]	ROI shrink-wrap</t>
  </si>
  <si>
    <t>[ 04/02/25 20:46:57 ]	Bitwise operations</t>
  </si>
  <si>
    <t>[ 04/02/25 20:46:59 ]	Bitwise operations done</t>
  </si>
  <si>
    <t>[ 04/02/25 20:47:42 ]	3D analysis</t>
  </si>
  <si>
    <t>02.04.2025 20:47</t>
  </si>
  <si>
    <t>SM2 (AFTER BIOPOLYMER TREATMENT)</t>
  </si>
  <si>
    <t xml:space="preserve"> H:\Results - 2\Mary Ngoma\SM2_after\SM2_AFTER_Rec\VOI\sm1_after_rec_voi_</t>
  </si>
  <si>
    <t>[ 04/02/25 21:32:26 ] Thresholding</t>
  </si>
  <si>
    <t>[ 04/02/25 21:32:28 ]	Thresholding done</t>
  </si>
  <si>
    <t>[ 04/02/25 21:33:14 ]	3D analysis</t>
  </si>
  <si>
    <t>Destination folder of images of Trabecular thickness: H:\Results - 2\Mary Ngoma\SM2_after\SM2_AFTER_Rec\VOI\TBTH(3)</t>
  </si>
  <si>
    <t>02.04.2025 21:33</t>
  </si>
  <si>
    <t>H:\Results - 2\Mary Ngoma\SM2_after\SM2_AFTER_Rec\VOI\</t>
  </si>
  <si>
    <t>43.0 - &lt;45.0</t>
  </si>
  <si>
    <t>[ 04/02/25 21:41:26 ]	Save bitmaps (only image)</t>
  </si>
  <si>
    <t>Destination folder: H:\Results - 2\Mary Ngoma\SM2_after\SM2_AFTER_Rec\VOI\IMG</t>
  </si>
  <si>
    <t>Number of saved files: 289</t>
  </si>
  <si>
    <t>[ 04/02/25 21:41:57 ]	Bitwise operations</t>
  </si>
  <si>
    <t>[ 04/02/25 21:41:58 ]	Bitwise operations done</t>
  </si>
  <si>
    <t>[ 04/02/25 21:42:21 ]	Save bitmaps (image inside ROI)</t>
  </si>
  <si>
    <t>Destination folder: H:\Results - 2\Mary Ngoma\SM2_after\SM2_AFTER_Rec\VOI\VOI</t>
  </si>
  <si>
    <t>[ 04/02/25 21:42:46 ]	Bitwise operations</t>
  </si>
  <si>
    <t>[ 04/02/25 21:42:47 ]	Bitwise operations done</t>
  </si>
  <si>
    <t>[ 04/02/25 21:43:21 ]	Bitwise operations</t>
  </si>
  <si>
    <t>[ 04/02/25 21:43:24 ]	Bitwise operations done</t>
  </si>
  <si>
    <t>[ 04/02/25 21:43:44 ]	Primitive ROI</t>
  </si>
  <si>
    <t>[ 04/02/25 21:43:45 ]	Primitive ROI done</t>
  </si>
  <si>
    <t>[ 04/02/25 21:45:21 ]	ROI shrink-wrap</t>
  </si>
  <si>
    <t>[ 04/02/25 21:46:04 ]	Bitwise operations</t>
  </si>
  <si>
    <t>[ 04/02/25 21:46:06 ]	Bitwise operations done</t>
  </si>
  <si>
    <t>[ 04/02/25 21:46:22 ]	3D analysis</t>
  </si>
  <si>
    <t>02.04.2025 21:46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</si>
</sst>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5" fontId="0" fillId="0" borderId="1" xfId="1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2" xfId="0" applyFont="1" applyBorder="1" applyAlignment="1">
      <alignment vertical="top" wrapText="1"/>
    </xf>
    <xf numFmtId="0" fontId="0" fillId="0" borderId="21" xfId="0" applyBorder="1" applyAlignment="1">
      <alignment horizontal="left"/>
    </xf>
    <xf numFmtId="0" fontId="0" fillId="0" borderId="23" xfId="0" applyBorder="1" applyAlignment="1">
      <alignment horizontal="left"/>
    </xf>
    <xf numFmtId="2" fontId="0" fillId="0" borderId="0" xfId="0" applyNumberFormat="1"/>
    <xf numFmtId="9" fontId="0" fillId="0" borderId="0" xfId="1" applyFont="1"/>
    <xf numFmtId="0" fontId="0" fillId="0" borderId="0" xfId="0" applyAlignment="1">
      <alignment vertical="top"/>
    </xf>
    <xf numFmtId="0" fontId="4" fillId="0" borderId="0" xfId="2" applyFont="1"/>
    <xf numFmtId="0" fontId="3" fillId="0" borderId="0" xfId="2"/>
    <xf numFmtId="21" fontId="3" fillId="0" borderId="0" xfId="2" applyNumberFormat="1"/>
    <xf numFmtId="0" fontId="3" fillId="2" borderId="0" xfId="2" applyFill="1"/>
    <xf numFmtId="166" fontId="0" fillId="0" borderId="13" xfId="0" applyNumberForma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24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</cellXfs>
  <cellStyles count="3">
    <cellStyle name="Normal" xfId="0" builtinId="0"/>
    <cellStyle name="Normal 2" xfId="2" xr:uid="{CE51D66D-79F1-4084-B249-73F2411C604C}"/>
    <cellStyle name="Percent" xfId="1" builtinId="5"/>
  </cellStyles>
  <dxfs count="0"/>
  <tableStyles count="0" defaultTableStyle="TableStyleMedium9" defaultPivotStyle="PivotStyleLight16"/>
  <colors>
    <mruColors>
      <color rgb="FFF8A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'Permeability_Micro-Macro'!$G$1</c:f>
              <c:strCache>
                <c:ptCount val="1"/>
                <c:pt idx="0">
                  <c:v>Micro Scale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810-3F4E-BF6C-5719DB47A1F0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810-3F4E-BF6C-5719DB47A1F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810-3F4E-BF6C-5719DB47A1F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810-3F4E-BF6C-5719DB47A1F0}"/>
              </c:ext>
            </c:extLst>
          </c:dPt>
          <c:cat>
            <c:strRef>
              <c:f>'Permeability_Micro-Macro'!$F$2:$F$10</c:f>
              <c:strCache>
                <c:ptCount val="9"/>
                <c:pt idx="0">
                  <c:v>EICP_Before</c:v>
                </c:pt>
                <c:pt idx="1">
                  <c:v>EICP_After</c:v>
                </c:pt>
                <c:pt idx="2">
                  <c:v>BP_Before</c:v>
                </c:pt>
                <c:pt idx="3">
                  <c:v>BP_After</c:v>
                </c:pt>
                <c:pt idx="5">
                  <c:v>EICP_Before</c:v>
                </c:pt>
                <c:pt idx="6">
                  <c:v>EICP_After</c:v>
                </c:pt>
                <c:pt idx="7">
                  <c:v>BP_Before</c:v>
                </c:pt>
                <c:pt idx="8">
                  <c:v>BP_After</c:v>
                </c:pt>
              </c:strCache>
            </c:strRef>
          </c:cat>
          <c:val>
            <c:numRef>
              <c:f>'Permeability_Micro-Macro'!$G$2:$G$10</c:f>
              <c:numCache>
                <c:formatCode>General</c:formatCode>
                <c:ptCount val="9"/>
                <c:pt idx="0">
                  <c:v>84.9</c:v>
                </c:pt>
                <c:pt idx="1">
                  <c:v>69.900000000000006</c:v>
                </c:pt>
                <c:pt idx="2">
                  <c:v>86.1</c:v>
                </c:pt>
                <c:pt idx="3">
                  <c:v>77.900000000000006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0-3F4E-BF6C-5719DB47A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1116054480"/>
        <c:axId val="381414816"/>
      </c:barChart>
      <c:barChart>
        <c:barDir val="bar"/>
        <c:grouping val="clustered"/>
        <c:varyColors val="0"/>
        <c:ser>
          <c:idx val="1"/>
          <c:order val="1"/>
          <c:tx>
            <c:strRef>
              <c:f>'Permeability_Micro-Macro'!$H$1</c:f>
              <c:strCache>
                <c:ptCount val="1"/>
                <c:pt idx="0">
                  <c:v>Macro Scale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810-3F4E-BF6C-5719DB47A1F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810-3F4E-BF6C-5719DB47A1F0}"/>
              </c:ext>
            </c:extLst>
          </c:dPt>
          <c:dPt>
            <c:idx val="7"/>
            <c:invertIfNegative val="0"/>
            <c:bubble3D val="0"/>
            <c:spPr>
              <a:solidFill>
                <a:srgbClr val="F8AD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810-3F4E-BF6C-5719DB47A1F0}"/>
              </c:ext>
            </c:extLst>
          </c:dPt>
          <c:dPt>
            <c:idx val="8"/>
            <c:invertIfNegative val="0"/>
            <c:bubble3D val="0"/>
            <c:spPr>
              <a:solidFill>
                <a:srgbClr val="F8AD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810-3F4E-BF6C-5719DB47A1F0}"/>
              </c:ext>
            </c:extLst>
          </c:dPt>
          <c:cat>
            <c:strRef>
              <c:f>'Permeability_Micro-Macro'!$F$2:$F$10</c:f>
              <c:strCache>
                <c:ptCount val="9"/>
                <c:pt idx="0">
                  <c:v>EICP_Before</c:v>
                </c:pt>
                <c:pt idx="1">
                  <c:v>EICP_After</c:v>
                </c:pt>
                <c:pt idx="2">
                  <c:v>BP_Before</c:v>
                </c:pt>
                <c:pt idx="3">
                  <c:v>BP_After</c:v>
                </c:pt>
                <c:pt idx="5">
                  <c:v>EICP_Before</c:v>
                </c:pt>
                <c:pt idx="6">
                  <c:v>EICP_After</c:v>
                </c:pt>
                <c:pt idx="7">
                  <c:v>BP_Before</c:v>
                </c:pt>
                <c:pt idx="8">
                  <c:v>BP_After</c:v>
                </c:pt>
              </c:strCache>
            </c:strRef>
          </c:cat>
          <c:val>
            <c:numRef>
              <c:f>'Permeability_Micro-Macro'!$H$2:$H$10</c:f>
              <c:numCache>
                <c:formatCode>General</c:formatCode>
                <c:ptCount val="9"/>
                <c:pt idx="5">
                  <c:v>53.54</c:v>
                </c:pt>
                <c:pt idx="6">
                  <c:v>17.11</c:v>
                </c:pt>
                <c:pt idx="7">
                  <c:v>53.54</c:v>
                </c:pt>
                <c:pt idx="8">
                  <c:v>36.520000000000003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10-3F4E-BF6C-5719DB47A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41"/>
        <c:axId val="80657040"/>
        <c:axId val="80484304"/>
      </c:barChart>
      <c:catAx>
        <c:axId val="111605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381414816"/>
        <c:crosses val="autoZero"/>
        <c:auto val="1"/>
        <c:lblAlgn val="ctr"/>
        <c:lblOffset val="100"/>
        <c:noMultiLvlLbl val="0"/>
      </c:catAx>
      <c:valAx>
        <c:axId val="381414816"/>
        <c:scaling>
          <c:orientation val="minMax"/>
          <c:min val="6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116054480"/>
        <c:crosses val="autoZero"/>
        <c:crossBetween val="between"/>
      </c:valAx>
      <c:valAx>
        <c:axId val="80484304"/>
        <c:scaling>
          <c:orientation val="minMax"/>
          <c:min val="10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80657040"/>
        <c:crosses val="max"/>
        <c:crossBetween val="between"/>
      </c:valAx>
      <c:catAx>
        <c:axId val="806570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0484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'Permeability_Micro-Macro'!$Q$1</c:f>
              <c:strCache>
                <c:ptCount val="1"/>
                <c:pt idx="0">
                  <c:v>Micro Scale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'Permeability_Micro-Macro'!$P$2:$P$5</c:f>
              <c:strCache>
                <c:ptCount val="4"/>
                <c:pt idx="0">
                  <c:v>EICP_Before</c:v>
                </c:pt>
                <c:pt idx="1">
                  <c:v>EICP_After</c:v>
                </c:pt>
                <c:pt idx="2">
                  <c:v>EICP_Before</c:v>
                </c:pt>
                <c:pt idx="3">
                  <c:v>EICP_After</c:v>
                </c:pt>
              </c:strCache>
            </c:strRef>
          </c:cat>
          <c:val>
            <c:numRef>
              <c:f>'Permeability_Micro-Macro'!$Q$2:$Q$5</c:f>
              <c:numCache>
                <c:formatCode>General</c:formatCode>
                <c:ptCount val="4"/>
                <c:pt idx="0">
                  <c:v>84.9</c:v>
                </c:pt>
                <c:pt idx="1">
                  <c:v>69.900000000000006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2-0E47-B46C-5B8B7E554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overlap val="-34"/>
        <c:axId val="381337888"/>
        <c:axId val="380985728"/>
      </c:barChart>
      <c:barChart>
        <c:barDir val="bar"/>
        <c:grouping val="clustered"/>
        <c:varyColors val="0"/>
        <c:ser>
          <c:idx val="1"/>
          <c:order val="1"/>
          <c:tx>
            <c:strRef>
              <c:f>'Permeability_Micro-Macro'!$R$1</c:f>
              <c:strCache>
                <c:ptCount val="1"/>
                <c:pt idx="0">
                  <c:v>Macro Scale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'Permeability_Micro-Macro'!$P$2:$P$5</c:f>
              <c:strCache>
                <c:ptCount val="4"/>
                <c:pt idx="0">
                  <c:v>EICP_Before</c:v>
                </c:pt>
                <c:pt idx="1">
                  <c:v>EICP_After</c:v>
                </c:pt>
                <c:pt idx="2">
                  <c:v>EICP_Before</c:v>
                </c:pt>
                <c:pt idx="3">
                  <c:v>EICP_After</c:v>
                </c:pt>
              </c:strCache>
            </c:strRef>
          </c:cat>
          <c:val>
            <c:numRef>
              <c:f>'Permeability_Micro-Macro'!$R$2:$R$5</c:f>
              <c:numCache>
                <c:formatCode>General</c:formatCode>
                <c:ptCount val="4"/>
                <c:pt idx="2">
                  <c:v>53.54</c:v>
                </c:pt>
                <c:pt idx="3">
                  <c:v>17.11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62-0E47-B46C-5B8B7E554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overlap val="-62"/>
        <c:axId val="1543496992"/>
        <c:axId val="531664015"/>
      </c:barChart>
      <c:catAx>
        <c:axId val="381337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380985728"/>
        <c:crosses val="autoZero"/>
        <c:auto val="1"/>
        <c:lblAlgn val="ctr"/>
        <c:lblOffset val="100"/>
        <c:noMultiLvlLbl val="0"/>
      </c:catAx>
      <c:valAx>
        <c:axId val="380985728"/>
        <c:scaling>
          <c:orientation val="minMax"/>
          <c:min val="6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381337888"/>
        <c:crosses val="autoZero"/>
        <c:crossBetween val="between"/>
      </c:valAx>
      <c:valAx>
        <c:axId val="531664015"/>
        <c:scaling>
          <c:orientation val="minMax"/>
          <c:min val="10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543496992"/>
        <c:crosses val="max"/>
        <c:crossBetween val="between"/>
      </c:valAx>
      <c:catAx>
        <c:axId val="15434969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316640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'Permeability_Micro-Macro'!$AA$1</c:f>
              <c:strCache>
                <c:ptCount val="1"/>
                <c:pt idx="0">
                  <c:v>Micro Scale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'Permeability_Micro-Macro'!$Z$2:$Z$5</c:f>
              <c:strCache>
                <c:ptCount val="4"/>
                <c:pt idx="0">
                  <c:v>BP_Before</c:v>
                </c:pt>
                <c:pt idx="1">
                  <c:v>BP_After</c:v>
                </c:pt>
                <c:pt idx="2">
                  <c:v>BP_Before</c:v>
                </c:pt>
                <c:pt idx="3">
                  <c:v>BP_After</c:v>
                </c:pt>
              </c:strCache>
            </c:strRef>
          </c:cat>
          <c:val>
            <c:numRef>
              <c:f>'Permeability_Micro-Macro'!$AA$2:$AA$5</c:f>
              <c:numCache>
                <c:formatCode>General</c:formatCode>
                <c:ptCount val="4"/>
                <c:pt idx="0">
                  <c:v>86.1</c:v>
                </c:pt>
                <c:pt idx="1">
                  <c:v>77.900000000000006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3-454C-936D-583E05E70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"/>
        <c:axId val="1695512528"/>
        <c:axId val="1697013808"/>
      </c:barChart>
      <c:barChart>
        <c:barDir val="bar"/>
        <c:grouping val="clustered"/>
        <c:varyColors val="0"/>
        <c:ser>
          <c:idx val="1"/>
          <c:order val="1"/>
          <c:tx>
            <c:strRef>
              <c:f>'Permeability_Micro-Macro'!$AB$1</c:f>
              <c:strCache>
                <c:ptCount val="1"/>
                <c:pt idx="0">
                  <c:v>Macro Scale</c:v>
                </c:pt>
              </c:strCache>
            </c:strRef>
          </c:tx>
          <c:spPr>
            <a:solidFill>
              <a:srgbClr val="F8AD00"/>
            </a:solidFill>
            <a:ln>
              <a:noFill/>
            </a:ln>
            <a:effectLst/>
          </c:spPr>
          <c:invertIfNegative val="0"/>
          <c:cat>
            <c:strRef>
              <c:f>'Permeability_Micro-Macro'!$Z$2:$Z$5</c:f>
              <c:strCache>
                <c:ptCount val="4"/>
                <c:pt idx="0">
                  <c:v>BP_Before</c:v>
                </c:pt>
                <c:pt idx="1">
                  <c:v>BP_After</c:v>
                </c:pt>
                <c:pt idx="2">
                  <c:v>BP_Before</c:v>
                </c:pt>
                <c:pt idx="3">
                  <c:v>BP_After</c:v>
                </c:pt>
              </c:strCache>
            </c:strRef>
          </c:cat>
          <c:val>
            <c:numRef>
              <c:f>'Permeability_Micro-Macro'!$AB$2:$AB$5</c:f>
              <c:numCache>
                <c:formatCode>General</c:formatCode>
                <c:ptCount val="4"/>
                <c:pt idx="2">
                  <c:v>53.54</c:v>
                </c:pt>
                <c:pt idx="3">
                  <c:v>36.520000000000003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03-454C-936D-583E05E70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680503280"/>
        <c:axId val="19355984"/>
      </c:barChart>
      <c:catAx>
        <c:axId val="1695512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697013808"/>
        <c:crosses val="autoZero"/>
        <c:auto val="1"/>
        <c:lblAlgn val="ctr"/>
        <c:lblOffset val="100"/>
        <c:noMultiLvlLbl val="0"/>
      </c:catAx>
      <c:valAx>
        <c:axId val="1697013808"/>
        <c:scaling>
          <c:orientation val="minMax"/>
          <c:min val="6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695512528"/>
        <c:crosses val="autoZero"/>
        <c:crossBetween val="between"/>
      </c:valAx>
      <c:valAx>
        <c:axId val="19355984"/>
        <c:scaling>
          <c:orientation val="minMax"/>
          <c:min val="10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680503280"/>
        <c:crosses val="max"/>
        <c:crossBetween val="between"/>
      </c:valAx>
      <c:catAx>
        <c:axId val="16805032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355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'Permeability_Micro-Macro'!$G$46</c:f>
              <c:strCache>
                <c:ptCount val="1"/>
                <c:pt idx="0">
                  <c:v>Micro Scale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'Permeability_Micro-Macro'!$F$47:$F$50</c:f>
              <c:strCache>
                <c:ptCount val="4"/>
                <c:pt idx="0">
                  <c:v>EICP_Before</c:v>
                </c:pt>
                <c:pt idx="1">
                  <c:v>EICP_After</c:v>
                </c:pt>
                <c:pt idx="2">
                  <c:v>BP_Before</c:v>
                </c:pt>
                <c:pt idx="3">
                  <c:v>BP_After</c:v>
                </c:pt>
              </c:strCache>
            </c:strRef>
          </c:cat>
          <c:val>
            <c:numRef>
              <c:f>'Permeability_Micro-Macro'!$G$47:$G$50</c:f>
              <c:numCache>
                <c:formatCode>General</c:formatCode>
                <c:ptCount val="4"/>
                <c:pt idx="0">
                  <c:v>84.9</c:v>
                </c:pt>
                <c:pt idx="1">
                  <c:v>69.900000000000006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A-D740-B3F5-DC49BB0EFD5B}"/>
            </c:ext>
          </c:extLst>
        </c:ser>
        <c:ser>
          <c:idx val="1"/>
          <c:order val="1"/>
          <c:tx>
            <c:strRef>
              <c:f>'Permeability_Micro-Macro'!$H$46</c:f>
              <c:strCache>
                <c:ptCount val="1"/>
                <c:pt idx="0">
                  <c:v>Micro Scale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'Permeability_Micro-Macro'!$F$47:$F$50</c:f>
              <c:strCache>
                <c:ptCount val="4"/>
                <c:pt idx="0">
                  <c:v>EICP_Before</c:v>
                </c:pt>
                <c:pt idx="1">
                  <c:v>EICP_After</c:v>
                </c:pt>
                <c:pt idx="2">
                  <c:v>BP_Before</c:v>
                </c:pt>
                <c:pt idx="3">
                  <c:v>BP_After</c:v>
                </c:pt>
              </c:strCache>
            </c:strRef>
          </c:cat>
          <c:val>
            <c:numRef>
              <c:f>'Permeability_Micro-Macro'!$H$47:$H$50</c:f>
              <c:numCache>
                <c:formatCode>General</c:formatCode>
                <c:ptCount val="4"/>
                <c:pt idx="2">
                  <c:v>86.1</c:v>
                </c:pt>
                <c:pt idx="3">
                  <c:v>77.900000000000006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3A-D740-B3F5-DC49BB0EF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91"/>
        <c:axId val="1116026608"/>
        <c:axId val="1116028320"/>
      </c:barChart>
      <c:catAx>
        <c:axId val="1116026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116028320"/>
        <c:crosses val="autoZero"/>
        <c:auto val="1"/>
        <c:lblAlgn val="ctr"/>
        <c:lblOffset val="100"/>
        <c:noMultiLvlLbl val="0"/>
      </c:catAx>
      <c:valAx>
        <c:axId val="1116028320"/>
        <c:scaling>
          <c:orientation val="minMax"/>
          <c:min val="6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11602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'Permeability_Micro-Macro'!$W$46</c:f>
              <c:strCache>
                <c:ptCount val="1"/>
                <c:pt idx="0">
                  <c:v>Macro Scale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'Permeability_Micro-Macro'!$V$47:$V$50</c:f>
              <c:strCache>
                <c:ptCount val="4"/>
                <c:pt idx="0">
                  <c:v>EICP_Before</c:v>
                </c:pt>
                <c:pt idx="1">
                  <c:v>EICP_After</c:v>
                </c:pt>
                <c:pt idx="2">
                  <c:v>BP_Before</c:v>
                </c:pt>
                <c:pt idx="3">
                  <c:v>BP_After</c:v>
                </c:pt>
              </c:strCache>
            </c:strRef>
          </c:cat>
          <c:val>
            <c:numRef>
              <c:f>'Permeability_Micro-Macro'!$W$47:$W$50</c:f>
              <c:numCache>
                <c:formatCode>General</c:formatCode>
                <c:ptCount val="4"/>
                <c:pt idx="0">
                  <c:v>53.54</c:v>
                </c:pt>
                <c:pt idx="1">
                  <c:v>17.11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B-D74C-8743-140E2966EDF9}"/>
            </c:ext>
          </c:extLst>
        </c:ser>
        <c:ser>
          <c:idx val="1"/>
          <c:order val="1"/>
          <c:tx>
            <c:strRef>
              <c:f>'Permeability_Micro-Macro'!$X$46</c:f>
              <c:strCache>
                <c:ptCount val="1"/>
                <c:pt idx="0">
                  <c:v>Macro Scale</c:v>
                </c:pt>
              </c:strCache>
            </c:strRef>
          </c:tx>
          <c:spPr>
            <a:solidFill>
              <a:srgbClr val="F8AD00"/>
            </a:solidFill>
            <a:ln>
              <a:noFill/>
            </a:ln>
            <a:effectLst/>
          </c:spPr>
          <c:invertIfNegative val="0"/>
          <c:cat>
            <c:strRef>
              <c:f>'Permeability_Micro-Macro'!$V$47:$V$50</c:f>
              <c:strCache>
                <c:ptCount val="4"/>
                <c:pt idx="0">
                  <c:v>EICP_Before</c:v>
                </c:pt>
                <c:pt idx="1">
                  <c:v>EICP_After</c:v>
                </c:pt>
                <c:pt idx="2">
                  <c:v>BP_Before</c:v>
                </c:pt>
                <c:pt idx="3">
                  <c:v>BP_After</c:v>
                </c:pt>
              </c:strCache>
            </c:strRef>
          </c:cat>
          <c:val>
            <c:numRef>
              <c:f>'Permeability_Micro-Macro'!$X$47:$X$50</c:f>
              <c:numCache>
                <c:formatCode>General</c:formatCode>
                <c:ptCount val="4"/>
                <c:pt idx="2">
                  <c:v>53.54</c:v>
                </c:pt>
                <c:pt idx="3">
                  <c:v>36.520000000000003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BB-D74C-8743-140E2966E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91"/>
        <c:axId val="237125007"/>
        <c:axId val="237752399"/>
      </c:barChart>
      <c:catAx>
        <c:axId val="237125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237752399"/>
        <c:crosses val="autoZero"/>
        <c:auto val="1"/>
        <c:lblAlgn val="ctr"/>
        <c:lblOffset val="100"/>
        <c:noMultiLvlLbl val="0"/>
      </c:catAx>
      <c:valAx>
        <c:axId val="237752399"/>
        <c:scaling>
          <c:orientation val="minMax"/>
          <c:min val="1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23712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'Porosity_micro-macro'!$G$1</c:f>
              <c:strCache>
                <c:ptCount val="1"/>
                <c:pt idx="0">
                  <c:v>Porosity Micro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A1C-F549-BD64-A8B6C1034AFB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3A1C-F549-BD64-A8B6C1034AF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A1C-F549-BD64-A8B6C1034AF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3A1C-F549-BD64-A8B6C1034AFB}"/>
              </c:ext>
            </c:extLst>
          </c:dPt>
          <c:cat>
            <c:strRef>
              <c:f>'Porosity_micro-macro'!$F$2:$F$10</c:f>
              <c:strCache>
                <c:ptCount val="9"/>
                <c:pt idx="0">
                  <c:v>SM1_1</c:v>
                </c:pt>
                <c:pt idx="1">
                  <c:v>SM1_2</c:v>
                </c:pt>
                <c:pt idx="2">
                  <c:v>SM2_1</c:v>
                </c:pt>
                <c:pt idx="3">
                  <c:v>SM2_2</c:v>
                </c:pt>
                <c:pt idx="5">
                  <c:v>SB1</c:v>
                </c:pt>
                <c:pt idx="6">
                  <c:v>SB2</c:v>
                </c:pt>
                <c:pt idx="7">
                  <c:v>SB1</c:v>
                </c:pt>
                <c:pt idx="8">
                  <c:v>SB3</c:v>
                </c:pt>
              </c:strCache>
            </c:strRef>
          </c:cat>
          <c:val>
            <c:numRef>
              <c:f>'Porosity_micro-macro'!$G$2:$G$10</c:f>
              <c:numCache>
                <c:formatCode>0.0%</c:formatCode>
                <c:ptCount val="9"/>
                <c:pt idx="0">
                  <c:v>0.19685884000000001</c:v>
                </c:pt>
                <c:pt idx="1">
                  <c:v>0.1059489</c:v>
                </c:pt>
                <c:pt idx="2">
                  <c:v>0.19947600000000001</c:v>
                </c:pt>
                <c:pt idx="3">
                  <c:v>0.17720150000000001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A1C-F549-BD64-A8B6C1034AFB}"/>
            </c:ext>
          </c:extLst>
        </c:ser>
        <c:ser>
          <c:idx val="1"/>
          <c:order val="1"/>
          <c:tx>
            <c:strRef>
              <c:f>'Porosity_micro-macro'!$H$1</c:f>
              <c:strCache>
                <c:ptCount val="1"/>
                <c:pt idx="0">
                  <c:v>Porosity Macro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3A1C-F549-BD64-A8B6C1034AFB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A1C-F549-BD64-A8B6C1034AFB}"/>
              </c:ext>
            </c:extLst>
          </c:dPt>
          <c:dPt>
            <c:idx val="7"/>
            <c:invertIfNegative val="0"/>
            <c:bubble3D val="0"/>
            <c:spPr>
              <a:solidFill>
                <a:srgbClr val="F8AD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3A1C-F549-BD64-A8B6C1034AFB}"/>
              </c:ext>
            </c:extLst>
          </c:dPt>
          <c:dPt>
            <c:idx val="8"/>
            <c:invertIfNegative val="0"/>
            <c:bubble3D val="0"/>
            <c:spPr>
              <a:solidFill>
                <a:srgbClr val="F8AD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A1C-F549-BD64-A8B6C1034AFB}"/>
              </c:ext>
            </c:extLst>
          </c:dPt>
          <c:cat>
            <c:strRef>
              <c:f>'Porosity_micro-macro'!$F$2:$F$10</c:f>
              <c:strCache>
                <c:ptCount val="9"/>
                <c:pt idx="0">
                  <c:v>SM1_1</c:v>
                </c:pt>
                <c:pt idx="1">
                  <c:v>SM1_2</c:v>
                </c:pt>
                <c:pt idx="2">
                  <c:v>SM2_1</c:v>
                </c:pt>
                <c:pt idx="3">
                  <c:v>SM2_2</c:v>
                </c:pt>
                <c:pt idx="5">
                  <c:v>SB1</c:v>
                </c:pt>
                <c:pt idx="6">
                  <c:v>SB2</c:v>
                </c:pt>
                <c:pt idx="7">
                  <c:v>SB1</c:v>
                </c:pt>
                <c:pt idx="8">
                  <c:v>SB3</c:v>
                </c:pt>
              </c:strCache>
            </c:strRef>
          </c:cat>
          <c:val>
            <c:numRef>
              <c:f>'Porosity_micro-macro'!$H$2:$H$10</c:f>
              <c:numCache>
                <c:formatCode>General</c:formatCode>
                <c:ptCount val="9"/>
                <c:pt idx="5" formatCode="0.0%">
                  <c:v>0.21540999999999999</c:v>
                </c:pt>
                <c:pt idx="6" formatCode="0.0%">
                  <c:v>0.20023991367698099</c:v>
                </c:pt>
                <c:pt idx="7" formatCode="0.0%">
                  <c:v>0.21540999999999999</c:v>
                </c:pt>
                <c:pt idx="8" formatCode="0.0%">
                  <c:v>0.21051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A1C-F549-BD64-A8B6C1034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116054480"/>
        <c:axId val="381414816"/>
      </c:barChart>
      <c:catAx>
        <c:axId val="111605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381414816"/>
        <c:crosses val="autoZero"/>
        <c:auto val="1"/>
        <c:lblAlgn val="ctr"/>
        <c:lblOffset val="100"/>
        <c:noMultiLvlLbl val="0"/>
      </c:catAx>
      <c:valAx>
        <c:axId val="381414816"/>
        <c:scaling>
          <c:orientation val="minMax"/>
          <c:max val="0.22"/>
          <c:min val="0.1"/>
        </c:scaling>
        <c:delete val="0"/>
        <c:axPos val="b"/>
        <c:numFmt formatCode="0.0%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11605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475453946809061E-2"/>
          <c:y val="2.1693500558906564E-2"/>
          <c:w val="0.87133547280634649"/>
          <c:h val="0.9029432784994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'Porosity_micro-macro'!$Q$1</c:f>
              <c:strCache>
                <c:ptCount val="1"/>
                <c:pt idx="0">
                  <c:v>Micro Scale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'Porosity_micro-macro'!$P$2:$P$5</c:f>
              <c:strCache>
                <c:ptCount val="4"/>
                <c:pt idx="0">
                  <c:v>EICP_Before</c:v>
                </c:pt>
                <c:pt idx="1">
                  <c:v>EICP_After</c:v>
                </c:pt>
                <c:pt idx="2">
                  <c:v>EICP_Before</c:v>
                </c:pt>
                <c:pt idx="3">
                  <c:v>EICP_After</c:v>
                </c:pt>
              </c:strCache>
            </c:strRef>
          </c:cat>
          <c:val>
            <c:numRef>
              <c:f>'Porosity_micro-macro'!$Q$2:$Q$5</c:f>
              <c:numCache>
                <c:formatCode>0.0%</c:formatCode>
                <c:ptCount val="4"/>
                <c:pt idx="0">
                  <c:v>0.19685884000000001</c:v>
                </c:pt>
                <c:pt idx="1">
                  <c:v>0.1059489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3-824E-8C05-9149C3ED7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overlap val="-34"/>
        <c:axId val="381337888"/>
        <c:axId val="380985728"/>
      </c:barChart>
      <c:barChart>
        <c:barDir val="bar"/>
        <c:grouping val="clustered"/>
        <c:varyColors val="0"/>
        <c:ser>
          <c:idx val="1"/>
          <c:order val="1"/>
          <c:tx>
            <c:strRef>
              <c:f>'Porosity_micro-macro'!$R$1</c:f>
              <c:strCache>
                <c:ptCount val="1"/>
                <c:pt idx="0">
                  <c:v>Macro Scale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'Porosity_micro-macro'!$P$2:$P$5</c:f>
              <c:strCache>
                <c:ptCount val="4"/>
                <c:pt idx="0">
                  <c:v>EICP_Before</c:v>
                </c:pt>
                <c:pt idx="1">
                  <c:v>EICP_After</c:v>
                </c:pt>
                <c:pt idx="2">
                  <c:v>EICP_Before</c:v>
                </c:pt>
                <c:pt idx="3">
                  <c:v>EICP_After</c:v>
                </c:pt>
              </c:strCache>
            </c:strRef>
          </c:cat>
          <c:val>
            <c:numRef>
              <c:f>'Porosity_micro-macro'!$R$2:$R$5</c:f>
              <c:numCache>
                <c:formatCode>General</c:formatCode>
                <c:ptCount val="4"/>
                <c:pt idx="2" formatCode="0.0%">
                  <c:v>0.21540999999999999</c:v>
                </c:pt>
                <c:pt idx="3" formatCode="0.0%">
                  <c:v>0.20023991367698099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B3-824E-8C05-9149C3ED7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overlap val="-62"/>
        <c:axId val="1543496992"/>
        <c:axId val="531664015"/>
      </c:barChart>
      <c:catAx>
        <c:axId val="381337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380985728"/>
        <c:crosses val="autoZero"/>
        <c:auto val="1"/>
        <c:lblAlgn val="ctr"/>
        <c:lblOffset val="100"/>
        <c:noMultiLvlLbl val="0"/>
      </c:catAx>
      <c:valAx>
        <c:axId val="380985728"/>
        <c:scaling>
          <c:orientation val="minMax"/>
          <c:max val="0.22"/>
          <c:min val="0.1"/>
        </c:scaling>
        <c:delete val="0"/>
        <c:axPos val="b"/>
        <c:numFmt formatCode="0.0%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381337888"/>
        <c:crosses val="autoZero"/>
        <c:crossBetween val="between"/>
      </c:valAx>
      <c:valAx>
        <c:axId val="531664015"/>
        <c:scaling>
          <c:orientation val="minMax"/>
          <c:min val="10"/>
        </c:scaling>
        <c:delete val="1"/>
        <c:axPos val="t"/>
        <c:numFmt formatCode="General" sourceLinked="1"/>
        <c:majorTickMark val="out"/>
        <c:minorTickMark val="none"/>
        <c:tickLblPos val="nextTo"/>
        <c:crossAx val="1543496992"/>
        <c:crosses val="max"/>
        <c:crossBetween val="between"/>
      </c:valAx>
      <c:catAx>
        <c:axId val="15434969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316640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Helvetic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'Porosity_micro-macro'!$AA$1</c:f>
              <c:strCache>
                <c:ptCount val="1"/>
                <c:pt idx="0">
                  <c:v>Micro Scale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'Porosity_micro-macro'!$Z$2:$Z$5</c:f>
              <c:strCache>
                <c:ptCount val="4"/>
                <c:pt idx="0">
                  <c:v>BP_Before</c:v>
                </c:pt>
                <c:pt idx="1">
                  <c:v>BP_After</c:v>
                </c:pt>
                <c:pt idx="2">
                  <c:v>BP_Before</c:v>
                </c:pt>
                <c:pt idx="3">
                  <c:v>BP_After</c:v>
                </c:pt>
              </c:strCache>
            </c:strRef>
          </c:cat>
          <c:val>
            <c:numRef>
              <c:f>'Porosity_micro-macro'!$AA$2:$AA$5</c:f>
              <c:numCache>
                <c:formatCode>0.0%</c:formatCode>
                <c:ptCount val="4"/>
                <c:pt idx="0">
                  <c:v>0.19947600000000001</c:v>
                </c:pt>
                <c:pt idx="1">
                  <c:v>0.17720150000000001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6-014A-B53C-132F060A2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"/>
        <c:axId val="1695512528"/>
        <c:axId val="1697013808"/>
      </c:barChart>
      <c:barChart>
        <c:barDir val="bar"/>
        <c:grouping val="clustered"/>
        <c:varyColors val="0"/>
        <c:ser>
          <c:idx val="1"/>
          <c:order val="1"/>
          <c:tx>
            <c:strRef>
              <c:f>'Porosity_micro-macro'!$AB$1</c:f>
              <c:strCache>
                <c:ptCount val="1"/>
                <c:pt idx="0">
                  <c:v>Macro Scale</c:v>
                </c:pt>
              </c:strCache>
            </c:strRef>
          </c:tx>
          <c:spPr>
            <a:solidFill>
              <a:srgbClr val="F8AD00"/>
            </a:solidFill>
            <a:ln>
              <a:noFill/>
            </a:ln>
            <a:effectLst/>
          </c:spPr>
          <c:invertIfNegative val="0"/>
          <c:cat>
            <c:strRef>
              <c:f>'Porosity_micro-macro'!$Z$2:$Z$5</c:f>
              <c:strCache>
                <c:ptCount val="4"/>
                <c:pt idx="0">
                  <c:v>BP_Before</c:v>
                </c:pt>
                <c:pt idx="1">
                  <c:v>BP_After</c:v>
                </c:pt>
                <c:pt idx="2">
                  <c:v>BP_Before</c:v>
                </c:pt>
                <c:pt idx="3">
                  <c:v>BP_After</c:v>
                </c:pt>
              </c:strCache>
            </c:strRef>
          </c:cat>
          <c:val>
            <c:numRef>
              <c:f>'Porosity_micro-macro'!$AB$2:$AB$5</c:f>
              <c:numCache>
                <c:formatCode>General</c:formatCode>
                <c:ptCount val="4"/>
                <c:pt idx="2" formatCode="0.0%">
                  <c:v>0.21540999999999999</c:v>
                </c:pt>
                <c:pt idx="3" formatCode="0.0%">
                  <c:v>0.21051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F6-014A-B53C-132F060A2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680503280"/>
        <c:axId val="19355984"/>
      </c:barChart>
      <c:catAx>
        <c:axId val="1695512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697013808"/>
        <c:crosses val="autoZero"/>
        <c:auto val="1"/>
        <c:lblAlgn val="ctr"/>
        <c:lblOffset val="100"/>
        <c:noMultiLvlLbl val="0"/>
      </c:catAx>
      <c:valAx>
        <c:axId val="1697013808"/>
        <c:scaling>
          <c:orientation val="minMax"/>
          <c:max val="0.22"/>
          <c:min val="0.1"/>
        </c:scaling>
        <c:delete val="0"/>
        <c:axPos val="b"/>
        <c:numFmt formatCode="0.0%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695512528"/>
        <c:crosses val="autoZero"/>
        <c:crossBetween val="between"/>
      </c:valAx>
      <c:valAx>
        <c:axId val="19355984"/>
        <c:scaling>
          <c:orientation val="minMax"/>
          <c:min val="10"/>
        </c:scaling>
        <c:delete val="1"/>
        <c:axPos val="t"/>
        <c:numFmt formatCode="General" sourceLinked="1"/>
        <c:majorTickMark val="out"/>
        <c:minorTickMark val="none"/>
        <c:tickLblPos val="nextTo"/>
        <c:crossAx val="1680503280"/>
        <c:crosses val="max"/>
        <c:crossBetween val="between"/>
      </c:valAx>
      <c:catAx>
        <c:axId val="16805032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355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Porosity_EICPvsBP!$G$3</c:f>
              <c:strCache>
                <c:ptCount val="1"/>
                <c:pt idx="0">
                  <c:v>Porosity Micro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Porosity_EICPvsBP!$F$4:$F$7</c:f>
              <c:strCache>
                <c:ptCount val="4"/>
                <c:pt idx="0">
                  <c:v>SM1_1</c:v>
                </c:pt>
                <c:pt idx="1">
                  <c:v>SM1_2</c:v>
                </c:pt>
                <c:pt idx="2">
                  <c:v>SM2_1</c:v>
                </c:pt>
                <c:pt idx="3">
                  <c:v>SM2_2</c:v>
                </c:pt>
              </c:strCache>
            </c:strRef>
          </c:cat>
          <c:val>
            <c:numRef>
              <c:f>Porosity_EICPvsBP!$G$4:$G$7</c:f>
              <c:numCache>
                <c:formatCode>0.0%</c:formatCode>
                <c:ptCount val="4"/>
                <c:pt idx="0">
                  <c:v>0.19685884000000001</c:v>
                </c:pt>
                <c:pt idx="1">
                  <c:v>0.1059489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6-324B-B23C-06F3FC44127A}"/>
            </c:ext>
          </c:extLst>
        </c:ser>
        <c:ser>
          <c:idx val="1"/>
          <c:order val="1"/>
          <c:tx>
            <c:strRef>
              <c:f>Porosity_EICPvsBP!$H$3</c:f>
              <c:strCache>
                <c:ptCount val="1"/>
                <c:pt idx="0">
                  <c:v>Porosity Micro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Porosity_EICPvsBP!$F$4:$F$7</c:f>
              <c:strCache>
                <c:ptCount val="4"/>
                <c:pt idx="0">
                  <c:v>SM1_1</c:v>
                </c:pt>
                <c:pt idx="1">
                  <c:v>SM1_2</c:v>
                </c:pt>
                <c:pt idx="2">
                  <c:v>SM2_1</c:v>
                </c:pt>
                <c:pt idx="3">
                  <c:v>SM2_2</c:v>
                </c:pt>
              </c:strCache>
            </c:strRef>
          </c:cat>
          <c:val>
            <c:numRef>
              <c:f>Porosity_EICPvsBP!$H$4:$H$7</c:f>
              <c:numCache>
                <c:formatCode>General</c:formatCode>
                <c:ptCount val="4"/>
                <c:pt idx="2" formatCode="0.0%">
                  <c:v>0.19947600000000001</c:v>
                </c:pt>
                <c:pt idx="3" formatCode="0.0%">
                  <c:v>0.17720150000000001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6-324B-B23C-06F3FC441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210653631"/>
        <c:axId val="1417771951"/>
      </c:barChart>
      <c:catAx>
        <c:axId val="1210653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71951"/>
        <c:crosses val="autoZero"/>
        <c:auto val="1"/>
        <c:lblAlgn val="ctr"/>
        <c:lblOffset val="100"/>
        <c:noMultiLvlLbl val="0"/>
      </c:catAx>
      <c:valAx>
        <c:axId val="1417771951"/>
        <c:scaling>
          <c:orientation val="minMax"/>
          <c:min val="0.1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21065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Porosity_EICPvsBP!$T$3</c:f>
              <c:strCache>
                <c:ptCount val="1"/>
                <c:pt idx="0">
                  <c:v>Porosity Macro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BB1-C14F-AC44-D6057979DEF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BB1-C14F-AC44-D6057979DEF0}"/>
              </c:ext>
            </c:extLst>
          </c:dPt>
          <c:cat>
            <c:strRef>
              <c:f>Porosity_EICPvsBP!$S$4:$S$7</c:f>
              <c:strCache>
                <c:ptCount val="4"/>
                <c:pt idx="0">
                  <c:v>SB1</c:v>
                </c:pt>
                <c:pt idx="1">
                  <c:v>SB2</c:v>
                </c:pt>
                <c:pt idx="2">
                  <c:v>SB1</c:v>
                </c:pt>
                <c:pt idx="3">
                  <c:v>SB3</c:v>
                </c:pt>
              </c:strCache>
            </c:strRef>
          </c:cat>
          <c:val>
            <c:numRef>
              <c:f>Porosity_EICPvsBP!$T$4:$T$7</c:f>
              <c:numCache>
                <c:formatCode>0.0%</c:formatCode>
                <c:ptCount val="4"/>
                <c:pt idx="0">
                  <c:v>0.21540999999999999</c:v>
                </c:pt>
                <c:pt idx="1">
                  <c:v>0.20023991367698099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1-C14F-AC44-D6057979DEF0}"/>
            </c:ext>
          </c:extLst>
        </c:ser>
        <c:ser>
          <c:idx val="1"/>
          <c:order val="1"/>
          <c:tx>
            <c:strRef>
              <c:f>Porosity_EICPvsBP!$U$3</c:f>
              <c:strCache>
                <c:ptCount val="1"/>
                <c:pt idx="0">
                  <c:v>Porosity Micro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8AD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BB1-C14F-AC44-D6057979DEF0}"/>
              </c:ext>
            </c:extLst>
          </c:dPt>
          <c:dPt>
            <c:idx val="3"/>
            <c:invertIfNegative val="0"/>
            <c:bubble3D val="0"/>
            <c:spPr>
              <a:solidFill>
                <a:srgbClr val="F8AD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BB1-C14F-AC44-D6057979DEF0}"/>
              </c:ext>
            </c:extLst>
          </c:dPt>
          <c:cat>
            <c:strRef>
              <c:f>Porosity_EICPvsBP!$S$4:$S$7</c:f>
              <c:strCache>
                <c:ptCount val="4"/>
                <c:pt idx="0">
                  <c:v>SB1</c:v>
                </c:pt>
                <c:pt idx="1">
                  <c:v>SB2</c:v>
                </c:pt>
                <c:pt idx="2">
                  <c:v>SB1</c:v>
                </c:pt>
                <c:pt idx="3">
                  <c:v>SB3</c:v>
                </c:pt>
              </c:strCache>
            </c:strRef>
          </c:cat>
          <c:val>
            <c:numRef>
              <c:f>Porosity_EICPvsBP!$U$4:$U$7</c:f>
              <c:numCache>
                <c:formatCode>General</c:formatCode>
                <c:ptCount val="4"/>
                <c:pt idx="2" formatCode="0.0%">
                  <c:v>0.21540999999999999</c:v>
                </c:pt>
                <c:pt idx="3" formatCode="0.0%">
                  <c:v>0.21051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B1-C14F-AC44-D6057979D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331975823"/>
        <c:axId val="1331979535"/>
      </c:barChart>
      <c:catAx>
        <c:axId val="1331975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979535"/>
        <c:crosses val="autoZero"/>
        <c:auto val="1"/>
        <c:lblAlgn val="ctr"/>
        <c:lblOffset val="100"/>
        <c:noMultiLvlLbl val="0"/>
      </c:catAx>
      <c:valAx>
        <c:axId val="1331979535"/>
        <c:scaling>
          <c:orientation val="minMax"/>
          <c:max val="0.22"/>
          <c:min val="0.1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33197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Sandstone Permeability to Nitrogen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125060484757841"/>
          <c:y val="9.8028597819528274E-2"/>
          <c:w val="0.8296032199885629"/>
          <c:h val="0.76225025935272228"/>
        </c:manualLayout>
      </c:layout>
      <c:scatterChart>
        <c:scatterStyle val="lineMarker"/>
        <c:varyColors val="0"/>
        <c:ser>
          <c:idx val="1"/>
          <c:order val="0"/>
          <c:tx>
            <c:strRef>
              <c:f>MacroPermeability!$B$1</c:f>
              <c:strCache>
                <c:ptCount val="1"/>
                <c:pt idx="0">
                  <c:v>SB1</c:v>
                </c:pt>
              </c:strCache>
            </c:strRef>
          </c:tx>
          <c:spPr>
            <a:ln w="38100">
              <a:noFill/>
            </a:ln>
          </c:spPr>
          <c:errBars>
            <c:errDir val="y"/>
            <c:errBarType val="both"/>
            <c:errValType val="cust"/>
            <c:noEndCap val="0"/>
            <c:plus>
              <c:numRef>
                <c:f>MacroPermeability!$D$3:$D$11</c:f>
                <c:numCache>
                  <c:formatCode>General</c:formatCode>
                  <c:ptCount val="9"/>
                  <c:pt idx="0">
                    <c:v>6.368376336839352E-4</c:v>
                  </c:pt>
                  <c:pt idx="3">
                    <c:v>8.0885529798913199E-4</c:v>
                  </c:pt>
                  <c:pt idx="6">
                    <c:v>1.3148976066604994E-3</c:v>
                  </c:pt>
                </c:numCache>
              </c:numRef>
            </c:plus>
            <c:minus>
              <c:numRef>
                <c:f>MacroPermeability!$D$3:$D$11</c:f>
                <c:numCache>
                  <c:formatCode>General</c:formatCode>
                  <c:ptCount val="9"/>
                  <c:pt idx="0">
                    <c:v>6.368376336839352E-4</c:v>
                  </c:pt>
                  <c:pt idx="3">
                    <c:v>8.0885529798913199E-4</c:v>
                  </c:pt>
                  <c:pt idx="6">
                    <c:v>1.3148976066604994E-3</c:v>
                  </c:pt>
                </c:numCache>
              </c:numRef>
            </c:minus>
          </c:errBars>
          <c:xVal>
            <c:numRef>
              <c:f>MacroPermeability!$A$3:$A$11</c:f>
              <c:numCache>
                <c:formatCode>General</c:formatCode>
                <c:ptCount val="9"/>
                <c:pt idx="0">
                  <c:v>600</c:v>
                </c:pt>
                <c:pt idx="3">
                  <c:v>1600</c:v>
                </c:pt>
                <c:pt idx="6">
                  <c:v>2600</c:v>
                </c:pt>
              </c:numCache>
            </c:numRef>
          </c:xVal>
          <c:yVal>
            <c:numRef>
              <c:f>MacroPermeability!$C$3:$C$11</c:f>
              <c:numCache>
                <c:formatCode>0.0000</c:formatCode>
                <c:ptCount val="9"/>
                <c:pt idx="0">
                  <c:v>5.5486071917757319E-2</c:v>
                </c:pt>
                <c:pt idx="3">
                  <c:v>5.4564917335393377E-2</c:v>
                </c:pt>
                <c:pt idx="6">
                  <c:v>5.354073837364446E-2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5-4DEE-966E-B434ADA756DA}"/>
            </c:ext>
          </c:extLst>
        </c:ser>
        <c:ser>
          <c:idx val="0"/>
          <c:order val="1"/>
          <c:tx>
            <c:strRef>
              <c:f>MacroPermeability!$E$1</c:f>
              <c:strCache>
                <c:ptCount val="1"/>
                <c:pt idx="0">
                  <c:v>SB2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MacroPermeability!$J$3:$J$11</c:f>
                <c:numCache>
                  <c:formatCode>General</c:formatCode>
                  <c:ptCount val="9"/>
                  <c:pt idx="0">
                    <c:v>7.9482052496092327E-4</c:v>
                  </c:pt>
                  <c:pt idx="3">
                    <c:v>1.7985560317320026E-3</c:v>
                  </c:pt>
                  <c:pt idx="6">
                    <c:v>2.3857774706235093E-3</c:v>
                  </c:pt>
                </c:numCache>
              </c:numRef>
            </c:plus>
            <c:minus>
              <c:numRef>
                <c:f>MacroPermeability!$J$3:$J$11</c:f>
                <c:numCache>
                  <c:formatCode>General</c:formatCode>
                  <c:ptCount val="9"/>
                  <c:pt idx="0">
                    <c:v>7.9482052496092327E-4</c:v>
                  </c:pt>
                  <c:pt idx="3">
                    <c:v>1.7985560317320026E-3</c:v>
                  </c:pt>
                  <c:pt idx="6">
                    <c:v>2.3857774706235093E-3</c:v>
                  </c:pt>
                </c:numCache>
              </c:numRef>
            </c:minus>
          </c:errBars>
          <c:xVal>
            <c:numRef>
              <c:f>MacroPermeability!$A$3:$A$11</c:f>
              <c:numCache>
                <c:formatCode>General</c:formatCode>
                <c:ptCount val="9"/>
                <c:pt idx="0">
                  <c:v>600</c:v>
                </c:pt>
                <c:pt idx="3">
                  <c:v>1600</c:v>
                </c:pt>
                <c:pt idx="6">
                  <c:v>2600</c:v>
                </c:pt>
              </c:numCache>
            </c:numRef>
          </c:xVal>
          <c:yVal>
            <c:numRef>
              <c:f>MacroPermeability!$F$3:$F$11</c:f>
              <c:numCache>
                <c:formatCode>0.0000</c:formatCode>
                <c:ptCount val="9"/>
                <c:pt idx="0">
                  <c:v>1.9594247593435265E-2</c:v>
                </c:pt>
                <c:pt idx="3">
                  <c:v>1.8852300929462749E-2</c:v>
                </c:pt>
                <c:pt idx="6">
                  <c:v>1.7106386626274919E-2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A5-4DEE-966E-B434ADA756DA}"/>
            </c:ext>
          </c:extLst>
        </c:ser>
        <c:ser>
          <c:idx val="2"/>
          <c:order val="2"/>
          <c:tx>
            <c:strRef>
              <c:f>MacroPermeability!$H$1</c:f>
              <c:strCache>
                <c:ptCount val="1"/>
                <c:pt idx="0">
                  <c:v>SB3</c:v>
                </c:pt>
              </c:strCache>
            </c:strRef>
          </c:tx>
          <c:spPr>
            <a:ln w="38100">
              <a:noFill/>
            </a:ln>
          </c:spPr>
          <c:errBars>
            <c:errDir val="y"/>
            <c:errBarType val="both"/>
            <c:errValType val="cust"/>
            <c:noEndCap val="0"/>
            <c:plus>
              <c:numRef>
                <c:f>MacroPermeability!$G$3:$G$11</c:f>
                <c:numCache>
                  <c:formatCode>General</c:formatCode>
                  <c:ptCount val="9"/>
                  <c:pt idx="0">
                    <c:v>1.3405364624200892E-3</c:v>
                  </c:pt>
                  <c:pt idx="3">
                    <c:v>1.1870875072450412E-4</c:v>
                  </c:pt>
                  <c:pt idx="6">
                    <c:v>6.3758588253974016E-4</c:v>
                  </c:pt>
                </c:numCache>
              </c:numRef>
            </c:plus>
            <c:minus>
              <c:numRef>
                <c:f>MacroPermeability!$G$3:$G$11</c:f>
                <c:numCache>
                  <c:formatCode>General</c:formatCode>
                  <c:ptCount val="9"/>
                  <c:pt idx="0">
                    <c:v>1.3405364624200892E-3</c:v>
                  </c:pt>
                  <c:pt idx="3">
                    <c:v>1.1870875072450412E-4</c:v>
                  </c:pt>
                  <c:pt idx="6">
                    <c:v>6.3758588253974016E-4</c:v>
                  </c:pt>
                </c:numCache>
              </c:numRef>
            </c:minus>
          </c:errBars>
          <c:xVal>
            <c:numRef>
              <c:f>MacroPermeability!$A$3:$A$11</c:f>
              <c:numCache>
                <c:formatCode>General</c:formatCode>
                <c:ptCount val="9"/>
                <c:pt idx="0">
                  <c:v>600</c:v>
                </c:pt>
                <c:pt idx="3">
                  <c:v>1600</c:v>
                </c:pt>
                <c:pt idx="6">
                  <c:v>2600</c:v>
                </c:pt>
              </c:numCache>
            </c:numRef>
          </c:xVal>
          <c:yVal>
            <c:numRef>
              <c:f>MacroPermeability!$I$3:$I$11</c:f>
              <c:numCache>
                <c:formatCode>0.0000</c:formatCode>
                <c:ptCount val="9"/>
                <c:pt idx="0">
                  <c:v>3.9247867257548322E-2</c:v>
                </c:pt>
                <c:pt idx="3">
                  <c:v>3.7003187462040205E-2</c:v>
                </c:pt>
                <c:pt idx="6">
                  <c:v>3.6524338289807896E-2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A5-4DEE-966E-B434ADA75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249407"/>
        <c:axId val="719249887"/>
      </c:scatterChart>
      <c:valAx>
        <c:axId val="71924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Confining Stress, psi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249887"/>
        <c:crosses val="autoZero"/>
        <c:crossBetween val="midCat"/>
        <c:majorUnit val="600"/>
      </c:valAx>
      <c:valAx>
        <c:axId val="71924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Permeability, Darcy</a:t>
                </a:r>
              </a:p>
            </c:rich>
          </c:tx>
          <c:overlay val="0"/>
        </c:title>
        <c:numFmt formatCode="0.00" sourceLinked="0"/>
        <c:majorTickMark val="in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249407"/>
        <c:crosses val="autoZero"/>
        <c:crossBetween val="midCat"/>
        <c:majorUnit val="2.0000000000000004E-2"/>
      </c:valAx>
      <c:spPr>
        <a:ln w="190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3405123242276279"/>
          <c:y val="0.67842573148719865"/>
          <c:w val="8.568805994222789E-2"/>
          <c:h val="0.16140027764756282"/>
        </c:manualLayout>
      </c:layout>
      <c:overlay val="0"/>
      <c:txPr>
        <a:bodyPr/>
        <a:lstStyle/>
        <a:p>
          <a:pPr>
            <a:defRPr sz="1600" b="1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Sandstone Permeability to Nitrogen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125060484757841"/>
          <c:y val="9.8028597819528274E-2"/>
          <c:w val="0.8296032199885629"/>
          <c:h val="0.76225025935272228"/>
        </c:manualLayout>
      </c:layout>
      <c:scatterChart>
        <c:scatterStyle val="lineMarker"/>
        <c:varyColors val="0"/>
        <c:ser>
          <c:idx val="1"/>
          <c:order val="0"/>
          <c:tx>
            <c:strRef>
              <c:f>'MacroPermeability @600'!$B$1</c:f>
              <c:strCache>
                <c:ptCount val="1"/>
                <c:pt idx="0">
                  <c:v>SB1</c:v>
                </c:pt>
              </c:strCache>
            </c:strRef>
          </c:tx>
          <c:spPr>
            <a:ln w="38100">
              <a:noFill/>
            </a:ln>
          </c:spPr>
          <c:errBars>
            <c:errDir val="y"/>
            <c:errBarType val="both"/>
            <c:errValType val="cust"/>
            <c:noEndCap val="0"/>
            <c:plus>
              <c:numRef>
                <c:f>'MacroPermeability @600'!$D$3:$D$5</c:f>
                <c:numCache>
                  <c:formatCode>General</c:formatCode>
                  <c:ptCount val="3"/>
                  <c:pt idx="0">
                    <c:v>6.368376336839352E-4</c:v>
                  </c:pt>
                </c:numCache>
              </c:numRef>
            </c:plus>
            <c:minus>
              <c:numRef>
                <c:f>'MacroPermeability @600'!$D$3:$D$5</c:f>
                <c:numCache>
                  <c:formatCode>General</c:formatCode>
                  <c:ptCount val="3"/>
                  <c:pt idx="0">
                    <c:v>6.368376336839352E-4</c:v>
                  </c:pt>
                </c:numCache>
              </c:numRef>
            </c:minus>
          </c:errBars>
          <c:xVal>
            <c:numRef>
              <c:f>'MacroPermeability @600'!$A$3:$A$5</c:f>
              <c:numCache>
                <c:formatCode>General</c:formatCode>
                <c:ptCount val="3"/>
                <c:pt idx="0">
                  <c:v>600</c:v>
                </c:pt>
              </c:numCache>
            </c:numRef>
          </c:xVal>
          <c:yVal>
            <c:numRef>
              <c:f>'MacroPermeability @600'!$C$3:$C$5</c:f>
              <c:numCache>
                <c:formatCode>0.0000</c:formatCode>
                <c:ptCount val="3"/>
                <c:pt idx="0">
                  <c:v>5.5486071917757319E-2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C1-49FC-A92E-353158195AD7}"/>
            </c:ext>
          </c:extLst>
        </c:ser>
        <c:ser>
          <c:idx val="0"/>
          <c:order val="1"/>
          <c:tx>
            <c:strRef>
              <c:f>'MacroPermeability @600'!$E$1</c:f>
              <c:strCache>
                <c:ptCount val="1"/>
                <c:pt idx="0">
                  <c:v>SB2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'MacroPermeability @600'!$J$3:$J$5</c:f>
                <c:numCache>
                  <c:formatCode>General</c:formatCode>
                  <c:ptCount val="3"/>
                  <c:pt idx="0">
                    <c:v>7.9482052496092327E-4</c:v>
                  </c:pt>
                </c:numCache>
              </c:numRef>
            </c:plus>
            <c:minus>
              <c:numRef>
                <c:f>'MacroPermeability @600'!$J$3:$J$5</c:f>
                <c:numCache>
                  <c:formatCode>General</c:formatCode>
                  <c:ptCount val="3"/>
                  <c:pt idx="0">
                    <c:v>7.9482052496092327E-4</c:v>
                  </c:pt>
                </c:numCache>
              </c:numRef>
            </c:minus>
          </c:errBars>
          <c:xVal>
            <c:numRef>
              <c:f>'MacroPermeability @600'!$A$3:$A$5</c:f>
              <c:numCache>
                <c:formatCode>General</c:formatCode>
                <c:ptCount val="3"/>
                <c:pt idx="0">
                  <c:v>600</c:v>
                </c:pt>
              </c:numCache>
            </c:numRef>
          </c:xVal>
          <c:yVal>
            <c:numRef>
              <c:f>'MacroPermeability @600'!$F$3:$F$5</c:f>
              <c:numCache>
                <c:formatCode>0.0000</c:formatCode>
                <c:ptCount val="3"/>
                <c:pt idx="0">
                  <c:v>1.9594247593435265E-2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C1-49FC-A92E-353158195AD7}"/>
            </c:ext>
          </c:extLst>
        </c:ser>
        <c:ser>
          <c:idx val="2"/>
          <c:order val="2"/>
          <c:tx>
            <c:strRef>
              <c:f>'MacroPermeability @600'!$H$1</c:f>
              <c:strCache>
                <c:ptCount val="1"/>
                <c:pt idx="0">
                  <c:v>SB3</c:v>
                </c:pt>
              </c:strCache>
            </c:strRef>
          </c:tx>
          <c:spPr>
            <a:ln w="38100">
              <a:noFill/>
            </a:ln>
          </c:spPr>
          <c:errBars>
            <c:errDir val="y"/>
            <c:errBarType val="both"/>
            <c:errValType val="cust"/>
            <c:noEndCap val="0"/>
            <c:plus>
              <c:numRef>
                <c:f>'MacroPermeability @600'!$G$3:$G$5</c:f>
                <c:numCache>
                  <c:formatCode>General</c:formatCode>
                  <c:ptCount val="3"/>
                  <c:pt idx="0">
                    <c:v>1.3405364624200892E-3</c:v>
                  </c:pt>
                </c:numCache>
              </c:numRef>
            </c:plus>
            <c:minus>
              <c:numRef>
                <c:f>'MacroPermeability @600'!$G$3:$G$5</c:f>
                <c:numCache>
                  <c:formatCode>General</c:formatCode>
                  <c:ptCount val="3"/>
                  <c:pt idx="0">
                    <c:v>1.3405364624200892E-3</c:v>
                  </c:pt>
                </c:numCache>
              </c:numRef>
            </c:minus>
          </c:errBars>
          <c:xVal>
            <c:numRef>
              <c:f>'MacroPermeability @600'!$A$3:$A$5</c:f>
              <c:numCache>
                <c:formatCode>General</c:formatCode>
                <c:ptCount val="3"/>
                <c:pt idx="0">
                  <c:v>600</c:v>
                </c:pt>
              </c:numCache>
            </c:numRef>
          </c:xVal>
          <c:yVal>
            <c:numRef>
              <c:f>'MacroPermeability @600'!$I$3:$I$5</c:f>
              <c:numCache>
                <c:formatCode>0.0000</c:formatCode>
                <c:ptCount val="3"/>
                <c:pt idx="0">
                  <c:v>3.9247867257548322E-2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C1-49FC-A92E-353158195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249407"/>
        <c:axId val="719249887"/>
      </c:scatterChart>
      <c:valAx>
        <c:axId val="71924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Confining Stress, psi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249887"/>
        <c:crosses val="autoZero"/>
        <c:crossBetween val="midCat"/>
        <c:majorUnit val="600"/>
      </c:valAx>
      <c:valAx>
        <c:axId val="71924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Permeability, Darcy</a:t>
                </a:r>
              </a:p>
            </c:rich>
          </c:tx>
          <c:overlay val="0"/>
        </c:title>
        <c:numFmt formatCode="0.00" sourceLinked="0"/>
        <c:majorTickMark val="in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249407"/>
        <c:crosses val="autoZero"/>
        <c:crossBetween val="midCat"/>
        <c:majorUnit val="2.0000000000000004E-2"/>
      </c:valAx>
      <c:spPr>
        <a:ln w="1905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3405123242276279"/>
          <c:y val="0.67842573148719865"/>
          <c:w val="8.568805994222789E-2"/>
          <c:h val="0.16140027764756282"/>
        </c:manualLayout>
      </c:layout>
      <c:overlay val="0"/>
      <c:txPr>
        <a:bodyPr/>
        <a:lstStyle/>
        <a:p>
          <a:pPr>
            <a:defRPr sz="1600" b="1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72320126650836"/>
          <c:y val="9.8028556775317507E-2"/>
          <c:w val="0.8296032199885629"/>
          <c:h val="0.76225025935272228"/>
        </c:manualLayout>
      </c:layout>
      <c:scatterChart>
        <c:scatterStyle val="lineMarker"/>
        <c:varyColors val="0"/>
        <c:ser>
          <c:idx val="1"/>
          <c:order val="0"/>
          <c:tx>
            <c:strRef>
              <c:f>'MacroPermeability @2600'!$B$8:$D$8</c:f>
              <c:strCache>
                <c:ptCount val="1"/>
                <c:pt idx="0">
                  <c:v>SB1  @2600 psi</c:v>
                </c:pt>
              </c:strCache>
            </c:strRef>
          </c:tx>
          <c:spPr>
            <a:ln w="38100">
              <a:noFill/>
            </a:ln>
          </c:spPr>
          <c:marker>
            <c:symbol val="square"/>
            <c:size val="11"/>
            <c:spPr>
              <a:solidFill>
                <a:schemeClr val="accent2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'MacroPermeability @2600'!$D$3:$D$5</c:f>
                <c:numCache>
                  <c:formatCode>General</c:formatCode>
                  <c:ptCount val="3"/>
                  <c:pt idx="0">
                    <c:v>1.3148976066604994E-3</c:v>
                  </c:pt>
                </c:numCache>
              </c:numRef>
            </c:plus>
            <c:minus>
              <c:numRef>
                <c:f>'MacroPermeability @2600'!$D$3:$D$5</c:f>
                <c:numCache>
                  <c:formatCode>General</c:formatCode>
                  <c:ptCount val="3"/>
                  <c:pt idx="0">
                    <c:v>1.3148976066604994E-3</c:v>
                  </c:pt>
                </c:numCache>
              </c:numRef>
            </c:minus>
          </c:errBars>
          <c:xVal>
            <c:numRef>
              <c:f>'MacroPermeability @2600'!$A$3:$A$5</c:f>
              <c:numCache>
                <c:formatCode>General</c:formatCode>
                <c:ptCount val="3"/>
                <c:pt idx="0">
                  <c:v>2600</c:v>
                </c:pt>
              </c:numCache>
            </c:numRef>
          </c:xVal>
          <c:yVal>
            <c:numRef>
              <c:f>'MacroPermeability @2600'!$C$10:$C$12</c:f>
              <c:numCache>
                <c:formatCode>0.00</c:formatCode>
                <c:ptCount val="3"/>
                <c:pt idx="0">
                  <c:v>53.540738373644466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A0-4445-8417-66E32D873457}"/>
            </c:ext>
          </c:extLst>
        </c:ser>
        <c:ser>
          <c:idx val="0"/>
          <c:order val="1"/>
          <c:tx>
            <c:strRef>
              <c:f>'MacroPermeability @2600'!$E$8:$G$8</c:f>
              <c:strCache>
                <c:ptCount val="1"/>
                <c:pt idx="0">
                  <c:v>SB2  @2600 psi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11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'MacroPermeability @2600'!$J$3:$J$5</c:f>
                <c:numCache>
                  <c:formatCode>General</c:formatCode>
                  <c:ptCount val="3"/>
                  <c:pt idx="0">
                    <c:v>2.3857774706235093E-3</c:v>
                  </c:pt>
                </c:numCache>
              </c:numRef>
            </c:plus>
            <c:minus>
              <c:numRef>
                <c:f>'MacroPermeability @2600'!$J$3:$J$5</c:f>
                <c:numCache>
                  <c:formatCode>General</c:formatCode>
                  <c:ptCount val="3"/>
                  <c:pt idx="0">
                    <c:v>2.3857774706235093E-3</c:v>
                  </c:pt>
                </c:numCache>
              </c:numRef>
            </c:minus>
          </c:errBars>
          <c:xVal>
            <c:numRef>
              <c:f>'MacroPermeability @2600'!$A$3:$A$5</c:f>
              <c:numCache>
                <c:formatCode>General</c:formatCode>
                <c:ptCount val="3"/>
                <c:pt idx="0">
                  <c:v>2600</c:v>
                </c:pt>
              </c:numCache>
            </c:numRef>
          </c:xVal>
          <c:yVal>
            <c:numRef>
              <c:f>'MacroPermeability @2600'!$F$10:$F$12</c:f>
              <c:numCache>
                <c:formatCode>0.00</c:formatCode>
                <c:ptCount val="3"/>
                <c:pt idx="0">
                  <c:v>17.106386626274922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A0-4445-8417-66E32D873457}"/>
            </c:ext>
          </c:extLst>
        </c:ser>
        <c:ser>
          <c:idx val="2"/>
          <c:order val="2"/>
          <c:tx>
            <c:strRef>
              <c:f>'MacroPermeability @2600'!$H$8:$J$8</c:f>
              <c:strCache>
                <c:ptCount val="1"/>
                <c:pt idx="0">
                  <c:v>SB3  @2600 psi</c:v>
                </c:pt>
              </c:strCache>
            </c:strRef>
          </c:tx>
          <c:spPr>
            <a:ln w="38100">
              <a:noFill/>
            </a:ln>
          </c:spPr>
          <c:marker>
            <c:symbol val="triangle"/>
            <c:size val="12"/>
            <c:spPr>
              <a:solidFill>
                <a:srgbClr val="00B050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'MacroPermeability @2600'!$G$3:$G$5</c:f>
                <c:numCache>
                  <c:formatCode>General</c:formatCode>
                  <c:ptCount val="3"/>
                  <c:pt idx="0">
                    <c:v>6.3758588253974016E-4</c:v>
                  </c:pt>
                </c:numCache>
              </c:numRef>
            </c:plus>
            <c:minus>
              <c:numRef>
                <c:f>'MacroPermeability @2600'!$G$3:$G$5</c:f>
                <c:numCache>
                  <c:formatCode>General</c:formatCode>
                  <c:ptCount val="3"/>
                  <c:pt idx="0">
                    <c:v>6.3758588253974016E-4</c:v>
                  </c:pt>
                </c:numCache>
              </c:numRef>
            </c:minus>
          </c:errBars>
          <c:xVal>
            <c:numRef>
              <c:f>'MacroPermeability @2600'!$A$3:$A$5</c:f>
              <c:numCache>
                <c:formatCode>General</c:formatCode>
                <c:ptCount val="3"/>
                <c:pt idx="0">
                  <c:v>2600</c:v>
                </c:pt>
              </c:numCache>
            </c:numRef>
          </c:xVal>
          <c:yVal>
            <c:numRef>
              <c:f>'MacroPermeability @2600'!$I$10:$I$12</c:f>
              <c:numCache>
                <c:formatCode>0.00</c:formatCode>
                <c:ptCount val="3"/>
                <c:pt idx="0">
                  <c:v>36.524338289807901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A0-4445-8417-66E32D873457}"/>
            </c:ext>
          </c:extLst>
        </c:ser>
        <c:ser>
          <c:idx val="3"/>
          <c:order val="3"/>
          <c:tx>
            <c:strRef>
              <c:f>'[1]MacroPermeability @600'!$B$8:$D$8</c:f>
              <c:strCache>
                <c:ptCount val="1"/>
                <c:pt idx="0">
                  <c:v>SB1  @600 psi</c:v>
                </c:pt>
              </c:strCache>
            </c:strRef>
          </c:tx>
          <c:spPr>
            <a:ln w="38100">
              <a:noFill/>
            </a:ln>
          </c:spPr>
          <c:marker>
            <c:symbol val="square"/>
            <c:size val="11"/>
            <c:spPr>
              <a:solidFill>
                <a:schemeClr val="accent2"/>
              </a:solidFill>
              <a:ln>
                <a:noFill/>
              </a:ln>
            </c:spPr>
          </c:marker>
          <c:xVal>
            <c:numRef>
              <c:f>'[1]MacroPermeability @600'!$A$3:$A$5</c:f>
              <c:numCache>
                <c:formatCode>General</c:formatCode>
                <c:ptCount val="3"/>
                <c:pt idx="0">
                  <c:v>600</c:v>
                </c:pt>
              </c:numCache>
            </c:numRef>
          </c:xVal>
          <c:yVal>
            <c:numRef>
              <c:f>'[1]MacroPermeability @600'!$C$10:$C$12</c:f>
              <c:numCache>
                <c:formatCode>General</c:formatCode>
                <c:ptCount val="3"/>
                <c:pt idx="0">
                  <c:v>55.486071917757329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A0-4445-8417-66E32D873457}"/>
            </c:ext>
          </c:extLst>
        </c:ser>
        <c:ser>
          <c:idx val="4"/>
          <c:order val="4"/>
          <c:tx>
            <c:strRef>
              <c:f>'[1]MacroPermeability @600'!$E$8:$G$8</c:f>
              <c:strCache>
                <c:ptCount val="1"/>
                <c:pt idx="0">
                  <c:v>SB2  @600 psi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11"/>
            <c:spPr>
              <a:solidFill>
                <a:srgbClr val="0070C0"/>
              </a:solidFill>
              <a:ln>
                <a:noFill/>
              </a:ln>
            </c:spPr>
          </c:marker>
          <c:xVal>
            <c:numRef>
              <c:f>'[1]MacroPermeability @600'!$A$3:$A$5</c:f>
              <c:numCache>
                <c:formatCode>General</c:formatCode>
                <c:ptCount val="3"/>
                <c:pt idx="0">
                  <c:v>600</c:v>
                </c:pt>
              </c:numCache>
            </c:numRef>
          </c:xVal>
          <c:yVal>
            <c:numRef>
              <c:f>'[1]MacroPermeability @600'!$F$10:$F$12</c:f>
              <c:numCache>
                <c:formatCode>General</c:formatCode>
                <c:ptCount val="3"/>
                <c:pt idx="0">
                  <c:v>19.594247593435263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A0-4445-8417-66E32D873457}"/>
            </c:ext>
          </c:extLst>
        </c:ser>
        <c:ser>
          <c:idx val="5"/>
          <c:order val="5"/>
          <c:tx>
            <c:strRef>
              <c:f>'[1]MacroPermeability @600'!$H$8:$J$8</c:f>
              <c:strCache>
                <c:ptCount val="1"/>
                <c:pt idx="0">
                  <c:v>SB3  @600 psi</c:v>
                </c:pt>
              </c:strCache>
            </c:strRef>
          </c:tx>
          <c:spPr>
            <a:ln w="38100">
              <a:noFill/>
            </a:ln>
          </c:spPr>
          <c:marker>
            <c:symbol val="triangle"/>
            <c:size val="12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'[1]MacroPermeability @600'!$A$3:$A$5</c:f>
              <c:numCache>
                <c:formatCode>General</c:formatCode>
                <c:ptCount val="3"/>
                <c:pt idx="0">
                  <c:v>600</c:v>
                </c:pt>
              </c:numCache>
            </c:numRef>
          </c:xVal>
          <c:yVal>
            <c:numRef>
              <c:f>'[1]MacroPermeability @600'!$I$10:$I$12</c:f>
              <c:numCache>
                <c:formatCode>General</c:formatCode>
                <c:ptCount val="3"/>
                <c:pt idx="0">
                  <c:v>39.247867257548322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CA0-4445-8417-66E32D873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249407"/>
        <c:axId val="719249887"/>
      </c:scatterChart>
      <c:valAx>
        <c:axId val="719249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Confining Stress, </a:t>
                </a:r>
                <a:r>
                  <a:rPr lang="en-US" sz="1800" i="1">
                    <a:sym typeface="Symbol" panose="05050102010706020507" pitchFamily="18" charset="2"/>
                  </a:rPr>
                  <a:t></a:t>
                </a:r>
                <a:r>
                  <a:rPr lang="en-US" sz="1800" i="1" baseline="-25000">
                    <a:sym typeface="Symbol" panose="05050102010706020507" pitchFamily="18" charset="2"/>
                  </a:rPr>
                  <a:t>c</a:t>
                </a:r>
                <a:r>
                  <a:rPr lang="en-US" sz="1800"/>
                  <a:t> (psi)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719249887"/>
        <c:crosses val="autoZero"/>
        <c:crossBetween val="midCat"/>
        <c:majorUnit val="600"/>
      </c:valAx>
      <c:valAx>
        <c:axId val="7192498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Permeability, </a:t>
                </a:r>
                <a:r>
                  <a:rPr lang="en-US" sz="1800" i="1"/>
                  <a:t>k</a:t>
                </a:r>
                <a:r>
                  <a:rPr lang="en-US" sz="1800"/>
                  <a:t> (mD)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719249407"/>
        <c:crosses val="autoZero"/>
        <c:crossBetween val="midCat"/>
      </c:valAx>
      <c:spPr>
        <a:noFill/>
        <a:ln w="19050">
          <a:noFill/>
        </a:ln>
      </c:spPr>
    </c:plotArea>
    <c:legend>
      <c:legendPos val="t"/>
      <c:overlay val="0"/>
      <c:txPr>
        <a:bodyPr/>
        <a:lstStyle/>
        <a:p>
          <a:pPr>
            <a:defRPr sz="1100" b="1" i="1"/>
          </a:pPr>
          <a:endParaRPr lang="en-US"/>
        </a:p>
      </c:txPr>
    </c:legend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391364</xdr:colOff>
      <xdr:row>11</xdr:row>
      <xdr:rowOff>7882</xdr:rowOff>
    </xdr:from>
    <xdr:to>
      <xdr:col>16</xdr:col>
      <xdr:colOff>217652</xdr:colOff>
      <xdr:row>42</xdr:row>
      <xdr:rowOff>87585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71BCCD3-4214-D13D-D438-096086681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579871</xdr:colOff>
      <xdr:row>10</xdr:row>
      <xdr:rowOff>11746</xdr:rowOff>
    </xdr:from>
    <xdr:to>
      <xdr:col>30</xdr:col>
      <xdr:colOff>435996</xdr:colOff>
      <xdr:row>40</xdr:row>
      <xdr:rowOff>124938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E45B805-D9B8-9BD3-E7A5-6E5EC37B0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433680</xdr:colOff>
      <xdr:row>9</xdr:row>
      <xdr:rowOff>94025</xdr:rowOff>
    </xdr:from>
    <xdr:to>
      <xdr:col>47</xdr:col>
      <xdr:colOff>272245</xdr:colOff>
      <xdr:row>42</xdr:row>
      <xdr:rowOff>6437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B8FAC59-8881-886C-7EC2-510E99918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166413</xdr:colOff>
      <xdr:row>57</xdr:row>
      <xdr:rowOff>51676</xdr:rowOff>
    </xdr:from>
    <xdr:to>
      <xdr:col>16</xdr:col>
      <xdr:colOff>583908</xdr:colOff>
      <xdr:row>86</xdr:row>
      <xdr:rowOff>65690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B96E4D9-8858-84E9-5BB8-DE74BB35B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188310</xdr:colOff>
      <xdr:row>57</xdr:row>
      <xdr:rowOff>51676</xdr:rowOff>
    </xdr:from>
    <xdr:to>
      <xdr:col>32</xdr:col>
      <xdr:colOff>343046</xdr:colOff>
      <xdr:row>86</xdr:row>
      <xdr:rowOff>65690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2B173C1-AF45-4B44-3838-4F78BB2DA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325486</xdr:colOff>
      <xdr:row>10</xdr:row>
      <xdr:rowOff>182058</xdr:rowOff>
    </xdr:from>
    <xdr:to>
      <xdr:col>16</xdr:col>
      <xdr:colOff>151774</xdr:colOff>
      <xdr:row>42</xdr:row>
      <xdr:rowOff>75496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624860-E9B7-F34B-9043-08511A728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527679</xdr:colOff>
      <xdr:row>10</xdr:row>
      <xdr:rowOff>150924</xdr:rowOff>
    </xdr:from>
    <xdr:to>
      <xdr:col>30</xdr:col>
      <xdr:colOff>383804</xdr:colOff>
      <xdr:row>41</xdr:row>
      <xdr:rowOff>72747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488C28-FEA1-E94E-9498-407CDCCE8D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329297</xdr:colOff>
      <xdr:row>10</xdr:row>
      <xdr:rowOff>128820</xdr:rowOff>
    </xdr:from>
    <xdr:to>
      <xdr:col>47</xdr:col>
      <xdr:colOff>167862</xdr:colOff>
      <xdr:row>43</xdr:row>
      <xdr:rowOff>41232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C2BFD2-5161-2E4E-B5A0-BC3DE16AA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140916</xdr:colOff>
      <xdr:row>9</xdr:row>
      <xdr:rowOff>54975</xdr:rowOff>
    </xdr:from>
    <xdr:to>
      <xdr:col>16</xdr:col>
      <xdr:colOff>2899</xdr:colOff>
      <xdr:row>41</xdr:row>
      <xdr:rowOff>17398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8EBFB9-A172-B76A-6FDA-DF5E2C088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1739</xdr:colOff>
      <xdr:row>9</xdr:row>
      <xdr:rowOff>54975</xdr:rowOff>
    </xdr:from>
    <xdr:to>
      <xdr:col>30</xdr:col>
      <xdr:colOff>626303</xdr:colOff>
      <xdr:row>40</xdr:row>
      <xdr:rowOff>186152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5FAB9D-BE8E-4673-7A8D-59317A422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511175</xdr:colOff>
      <xdr:row>1</xdr:row>
      <xdr:rowOff>246061</xdr:rowOff>
    </xdr:from>
    <xdr:to>
      <xdr:col>26</xdr:col>
      <xdr:colOff>15875</xdr:colOff>
      <xdr:row>26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8F8374-03E6-4302-9942-C35E0C4CD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561975</xdr:colOff>
      <xdr:row>6</xdr:row>
      <xdr:rowOff>4761</xdr:rowOff>
    </xdr:from>
    <xdr:to>
      <xdr:col>28</xdr:col>
      <xdr:colOff>447675</xdr:colOff>
      <xdr:row>34</xdr:row>
      <xdr:rowOff>22224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26E882-6CEA-4C3A-86A8-3B63EDE05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441325</xdr:colOff>
      <xdr:row>3</xdr:row>
      <xdr:rowOff>169861</xdr:rowOff>
    </xdr:from>
    <xdr:to>
      <xdr:col>25</xdr:col>
      <xdr:colOff>327025</xdr:colOff>
      <xdr:row>31</xdr:row>
      <xdr:rowOff>174624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08F3D7-EFC6-464D-B229-1DE2AC19A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jit0-my.sharepoint.com/personal/ok62_njit_edu/Documents/GGES%20Group%20Research/Current/Mary%20Ngoma/Rock%20Bio-Invasion/Project%205%20-%20Hydraulic%20properties/Supporting%20Data/Macro%20Scale_Pycnometer%20&amp;%20Permeater%20Data.xlsx" TargetMode="External"/><Relationship Id="rId1" Type="http://schemas.openxmlformats.org/officeDocument/2006/relationships/externalLinkPath" Target="Macro%20Scale_Pycnometer%20&amp;%20Permeater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Porosity"/>
      <sheetName val="MacroPermeability"/>
      <sheetName val="MacroPermeability @600"/>
      <sheetName val="MacroPermeability @2600"/>
    </sheetNames>
    <sheetDataSet>
      <sheetData sheetId="0"/>
      <sheetData sheetId="1"/>
      <sheetData sheetId="2">
        <row r="3">
          <cell r="A3">
            <v>600</v>
          </cell>
        </row>
        <row r="4">
          <cell r="A4"/>
        </row>
        <row r="5">
          <cell r="A5"/>
        </row>
        <row r="8">
          <cell r="B8" t="str">
            <v>SB1  @600 psi</v>
          </cell>
          <cell r="C8"/>
          <cell r="D8"/>
          <cell r="E8" t="str">
            <v>SB2  @600 psi</v>
          </cell>
          <cell r="F8"/>
          <cell r="G8"/>
          <cell r="H8" t="str">
            <v>SB3  @600 psi</v>
          </cell>
          <cell r="I8"/>
          <cell r="J8"/>
        </row>
        <row r="10">
          <cell r="C10">
            <v>55.486071917757329</v>
          </cell>
          <cell r="F10">
            <v>19.594247593435263</v>
          </cell>
          <cell r="I10">
            <v>39.247867257548322</v>
          </cell>
        </row>
        <row r="11">
          <cell r="C11"/>
          <cell r="F11"/>
          <cell r="I11"/>
        </row>
        <row r="12">
          <cell r="C12"/>
          <cell r="F12"/>
          <cell r="I12"/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AEA0-B658-0949-9A34-913C83B7656D}">
  <dimension ref="A1:AB50"/>
  <sheetViews>
    <sheetView tabSelected="1" zoomScale="90" zoomScaleNormal="90" workbookViewId="0">
      <selection activeCell="B52" sqref="B52"/>
    </sheetView>
  </sheetViews>
  <sheetFormatPr defaultColWidth="8.85546875" defaultRowHeight="15" x14ac:dyDescent="0.25"/>
  <cols>
    <col min="6" max="6" width="10.140625" bestFit="1" customWidth="1"/>
    <col min="8" max="8" width="10.42578125" bestFit="1" customWidth="1"/>
    <col min="16" max="16" width="10.140625" bestFit="1" customWidth="1"/>
    <col min="18" max="18" width="10.42578125" bestFit="1" customWidth="1"/>
    <col min="23" max="23" width="11.28515625" bestFit="1" customWidth="1"/>
    <col min="24" max="24" width="10.140625" bestFit="1" customWidth="1"/>
    <col min="26" max="27" width="10.140625" bestFit="1" customWidth="1"/>
    <col min="28" max="28" width="10.42578125" bestFit="1" customWidth="1"/>
  </cols>
  <sheetData>
    <row r="1" spans="1:28" x14ac:dyDescent="0.25">
      <c r="A1" s="2"/>
      <c r="B1" s="2"/>
      <c r="C1" s="2"/>
      <c r="F1" s="3" t="s">
        <v>0</v>
      </c>
      <c r="G1" s="3" t="s">
        <v>1</v>
      </c>
      <c r="H1" s="3" t="s">
        <v>2</v>
      </c>
      <c r="P1" s="3" t="s">
        <v>0</v>
      </c>
      <c r="Q1" s="3" t="s">
        <v>1</v>
      </c>
      <c r="R1" s="3" t="s">
        <v>2</v>
      </c>
      <c r="Z1" s="1" t="s">
        <v>0</v>
      </c>
      <c r="AA1" s="1" t="s">
        <v>1</v>
      </c>
      <c r="AB1" s="3" t="s">
        <v>2</v>
      </c>
    </row>
    <row r="2" spans="1:28" x14ac:dyDescent="0.25">
      <c r="F2" s="7" t="s">
        <v>3</v>
      </c>
      <c r="G2" s="7">
        <v>84.9</v>
      </c>
      <c r="H2" s="4"/>
      <c r="P2" s="7" t="s">
        <v>3</v>
      </c>
      <c r="Q2" s="7">
        <v>84.9</v>
      </c>
      <c r="R2" s="4"/>
      <c r="Z2" s="8" t="s">
        <v>5</v>
      </c>
      <c r="AA2" s="8">
        <v>86.1</v>
      </c>
      <c r="AB2" s="4"/>
    </row>
    <row r="3" spans="1:28" x14ac:dyDescent="0.25">
      <c r="F3" s="8" t="s">
        <v>4</v>
      </c>
      <c r="G3" s="8">
        <v>69.900000000000006</v>
      </c>
      <c r="H3" s="5"/>
      <c r="P3" s="8" t="s">
        <v>4</v>
      </c>
      <c r="Q3" s="8">
        <v>69.900000000000006</v>
      </c>
      <c r="R3" s="5"/>
      <c r="Z3" s="8" t="s">
        <v>6</v>
      </c>
      <c r="AA3" s="8">
        <v>77.900000000000006</v>
      </c>
      <c r="AB3" s="5"/>
    </row>
    <row r="4" spans="1:28" x14ac:dyDescent="0.25">
      <c r="F4" s="8" t="s">
        <v>5</v>
      </c>
      <c r="G4" s="8">
        <v>86.1</v>
      </c>
      <c r="H4" s="5"/>
      <c r="P4" s="8" t="s">
        <v>3</v>
      </c>
      <c r="Q4" s="8"/>
      <c r="R4" s="5">
        <v>53.54</v>
      </c>
      <c r="Z4" s="8" t="s">
        <v>5</v>
      </c>
      <c r="AA4" s="8"/>
      <c r="AB4" s="5">
        <v>53.54</v>
      </c>
    </row>
    <row r="5" spans="1:28" x14ac:dyDescent="0.25">
      <c r="F5" s="8" t="s">
        <v>6</v>
      </c>
      <c r="G5" s="8">
        <v>77.900000000000006</v>
      </c>
      <c r="H5" s="5"/>
      <c r="P5" s="9" t="s">
        <v>4</v>
      </c>
      <c r="Q5" s="9"/>
      <c r="R5" s="6">
        <v>17.11</v>
      </c>
      <c r="Z5" s="9" t="s">
        <v>6</v>
      </c>
      <c r="AA5" s="9"/>
      <c r="AB5" s="6">
        <v>36.520000000000003</v>
      </c>
    </row>
    <row r="6" spans="1:28" x14ac:dyDescent="0.25">
      <c r="F6" s="8"/>
      <c r="G6" s="8"/>
      <c r="H6" s="5"/>
      <c r="Z6" s="9"/>
      <c r="AA6" s="9"/>
      <c r="AB6" s="6"/>
    </row>
    <row r="7" spans="1:28" x14ac:dyDescent="0.25">
      <c r="F7" s="8" t="s">
        <v>3</v>
      </c>
      <c r="G7" s="8"/>
      <c r="H7" s="5">
        <v>53.54</v>
      </c>
    </row>
    <row r="8" spans="1:28" x14ac:dyDescent="0.25">
      <c r="F8" s="8" t="s">
        <v>4</v>
      </c>
      <c r="G8" s="8"/>
      <c r="H8" s="5">
        <v>17.11</v>
      </c>
    </row>
    <row r="9" spans="1:28" x14ac:dyDescent="0.25">
      <c r="F9" s="8" t="s">
        <v>5</v>
      </c>
      <c r="G9" s="8"/>
      <c r="H9" s="5">
        <v>53.54</v>
      </c>
    </row>
    <row r="10" spans="1:28" x14ac:dyDescent="0.25">
      <c r="F10" s="9" t="s">
        <v>6</v>
      </c>
      <c r="G10" s="9"/>
      <c r="H10" s="6">
        <v>36.520000000000003</v>
      </c>
    </row>
    <row r="45" spans="6:24" x14ac:dyDescent="0.25">
      <c r="G45" t="s">
        <v>8</v>
      </c>
      <c r="W45" t="s">
        <v>7</v>
      </c>
    </row>
    <row r="46" spans="6:24" x14ac:dyDescent="0.25">
      <c r="F46" s="3" t="s">
        <v>0</v>
      </c>
      <c r="G46" s="3" t="s">
        <v>1</v>
      </c>
      <c r="H46" s="3" t="s">
        <v>1</v>
      </c>
      <c r="V46" s="3" t="s">
        <v>0</v>
      </c>
      <c r="W46" s="1" t="s">
        <v>2</v>
      </c>
      <c r="X46" s="3" t="s">
        <v>2</v>
      </c>
    </row>
    <row r="47" spans="6:24" x14ac:dyDescent="0.25">
      <c r="F47" s="7" t="s">
        <v>3</v>
      </c>
      <c r="G47" s="7">
        <v>84.9</v>
      </c>
      <c r="H47" s="7"/>
      <c r="V47" s="7" t="s">
        <v>3</v>
      </c>
      <c r="W47" s="5">
        <v>53.54</v>
      </c>
      <c r="X47" s="7"/>
    </row>
    <row r="48" spans="6:24" x14ac:dyDescent="0.25">
      <c r="F48" s="8" t="s">
        <v>4</v>
      </c>
      <c r="G48" s="8">
        <v>69.900000000000006</v>
      </c>
      <c r="H48" s="8"/>
      <c r="V48" s="8" t="s">
        <v>4</v>
      </c>
      <c r="W48" s="5">
        <v>17.11</v>
      </c>
      <c r="X48" s="8"/>
    </row>
    <row r="49" spans="6:24" x14ac:dyDescent="0.25">
      <c r="F49" s="8" t="s">
        <v>5</v>
      </c>
      <c r="G49" s="8"/>
      <c r="H49" s="8">
        <v>86.1</v>
      </c>
      <c r="V49" s="8" t="s">
        <v>5</v>
      </c>
      <c r="W49" s="8"/>
      <c r="X49" s="5">
        <v>53.54</v>
      </c>
    </row>
    <row r="50" spans="6:24" x14ac:dyDescent="0.25">
      <c r="F50" s="9" t="s">
        <v>6</v>
      </c>
      <c r="G50" s="9"/>
      <c r="H50" s="9">
        <v>77.900000000000006</v>
      </c>
      <c r="V50" s="9" t="s">
        <v>6</v>
      </c>
      <c r="W50" s="9"/>
      <c r="X50" s="6">
        <v>36.520000000000003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8BC17-1DC0-F14E-AE71-D05DFE00F591}">
  <dimension ref="A1:AB46"/>
  <sheetViews>
    <sheetView zoomScale="73" zoomScaleNormal="100" workbookViewId="0">
      <selection activeCell="H68" sqref="H68"/>
    </sheetView>
  </sheetViews>
  <sheetFormatPr defaultColWidth="8.85546875" defaultRowHeight="15" x14ac:dyDescent="0.25"/>
  <cols>
    <col min="6" max="6" width="10.140625" bestFit="1" customWidth="1"/>
    <col min="7" max="7" width="12.85546875" bestFit="1" customWidth="1"/>
    <col min="8" max="8" width="12.42578125" bestFit="1" customWidth="1"/>
    <col min="16" max="16" width="10.140625" bestFit="1" customWidth="1"/>
    <col min="18" max="18" width="10.42578125" bestFit="1" customWidth="1"/>
    <col min="23" max="23" width="11.28515625" bestFit="1" customWidth="1"/>
    <col min="24" max="24" width="10.140625" bestFit="1" customWidth="1"/>
    <col min="26" max="27" width="10.140625" bestFit="1" customWidth="1"/>
    <col min="28" max="28" width="10.42578125" bestFit="1" customWidth="1"/>
  </cols>
  <sheetData>
    <row r="1" spans="1:28" x14ac:dyDescent="0.25">
      <c r="A1" s="2"/>
      <c r="B1" s="2"/>
      <c r="C1" s="2"/>
      <c r="F1" s="10" t="s">
        <v>9</v>
      </c>
      <c r="G1" s="10" t="s">
        <v>13</v>
      </c>
      <c r="H1" s="10" t="s">
        <v>14</v>
      </c>
      <c r="P1" s="3" t="s">
        <v>0</v>
      </c>
      <c r="Q1" s="3" t="s">
        <v>1</v>
      </c>
      <c r="R1" s="3" t="s">
        <v>2</v>
      </c>
      <c r="Z1" s="1" t="s">
        <v>0</v>
      </c>
      <c r="AA1" s="1" t="s">
        <v>1</v>
      </c>
      <c r="AB1" s="3" t="s">
        <v>2</v>
      </c>
    </row>
    <row r="2" spans="1:28" x14ac:dyDescent="0.25">
      <c r="F2" s="10" t="s">
        <v>15</v>
      </c>
      <c r="G2" s="13">
        <v>0.19685884000000001</v>
      </c>
      <c r="H2" s="11"/>
      <c r="P2" s="7" t="s">
        <v>3</v>
      </c>
      <c r="Q2" s="13">
        <v>0.19685884000000001</v>
      </c>
      <c r="R2" s="11"/>
      <c r="Z2" s="7" t="s">
        <v>5</v>
      </c>
      <c r="AA2" s="13">
        <v>0.19947600000000001</v>
      </c>
      <c r="AB2" s="11"/>
    </row>
    <row r="3" spans="1:28" x14ac:dyDescent="0.25">
      <c r="F3" s="10" t="s">
        <v>17</v>
      </c>
      <c r="G3" s="13">
        <v>0.1059489</v>
      </c>
      <c r="H3" s="11"/>
      <c r="P3" s="8" t="s">
        <v>4</v>
      </c>
      <c r="Q3" s="13">
        <v>0.1059489</v>
      </c>
      <c r="R3" s="11"/>
      <c r="Z3" s="8" t="s">
        <v>6</v>
      </c>
      <c r="AA3" s="13">
        <v>0.17720150000000001</v>
      </c>
      <c r="AB3" s="11"/>
    </row>
    <row r="4" spans="1:28" x14ac:dyDescent="0.25">
      <c r="F4" s="10" t="s">
        <v>16</v>
      </c>
      <c r="G4" s="13">
        <v>0.19947600000000001</v>
      </c>
      <c r="H4" s="11"/>
      <c r="P4" s="8" t="s">
        <v>3</v>
      </c>
      <c r="Q4" s="11"/>
      <c r="R4" s="12">
        <v>0.21540999999999999</v>
      </c>
      <c r="Z4" s="8" t="s">
        <v>5</v>
      </c>
      <c r="AA4" s="11"/>
      <c r="AB4" s="12">
        <v>0.21540999999999999</v>
      </c>
    </row>
    <row r="5" spans="1:28" x14ac:dyDescent="0.25">
      <c r="F5" s="10" t="s">
        <v>18</v>
      </c>
      <c r="G5" s="13">
        <v>0.17720150000000001</v>
      </c>
      <c r="H5" s="11"/>
      <c r="P5" s="9" t="s">
        <v>4</v>
      </c>
      <c r="Q5" s="11"/>
      <c r="R5" s="13">
        <v>0.20023991367698099</v>
      </c>
      <c r="Z5" s="9" t="s">
        <v>6</v>
      </c>
      <c r="AA5" s="11"/>
      <c r="AB5" s="14">
        <v>0.21051</v>
      </c>
    </row>
    <row r="6" spans="1:28" x14ac:dyDescent="0.25">
      <c r="F6" s="11"/>
      <c r="G6" s="11"/>
      <c r="H6" s="11"/>
    </row>
    <row r="7" spans="1:28" x14ac:dyDescent="0.25">
      <c r="F7" s="10" t="s">
        <v>10</v>
      </c>
      <c r="G7" s="11"/>
      <c r="H7" s="12">
        <v>0.21540999999999999</v>
      </c>
    </row>
    <row r="8" spans="1:28" x14ac:dyDescent="0.25">
      <c r="F8" s="10" t="s">
        <v>11</v>
      </c>
      <c r="G8" s="11"/>
      <c r="H8" s="13">
        <v>0.20023991367698099</v>
      </c>
    </row>
    <row r="9" spans="1:28" x14ac:dyDescent="0.25">
      <c r="F9" s="10" t="s">
        <v>10</v>
      </c>
      <c r="G9" s="11"/>
      <c r="H9" s="12">
        <v>0.21540999999999999</v>
      </c>
    </row>
    <row r="10" spans="1:28" x14ac:dyDescent="0.25">
      <c r="F10" s="10" t="s">
        <v>12</v>
      </c>
      <c r="G10" s="11"/>
      <c r="H10" s="14">
        <v>0.21051</v>
      </c>
    </row>
    <row r="46" spans="6:24" x14ac:dyDescent="0.25">
      <c r="F46" s="2"/>
      <c r="G46" s="2"/>
      <c r="H46" s="2"/>
      <c r="V46" s="2"/>
      <c r="W46" s="2"/>
      <c r="X46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034F4-01DA-4244-9CDF-FF2673944FEB}">
  <dimension ref="F2:X16"/>
  <sheetViews>
    <sheetView zoomScale="58" zoomScaleNormal="100" workbookViewId="0">
      <selection activeCell="X59" sqref="X59"/>
    </sheetView>
  </sheetViews>
  <sheetFormatPr defaultColWidth="8.85546875" defaultRowHeight="15" x14ac:dyDescent="0.25"/>
  <cols>
    <col min="6" max="6" width="10.140625" bestFit="1" customWidth="1"/>
    <col min="7" max="7" width="12.85546875" bestFit="1" customWidth="1"/>
    <col min="8" max="8" width="12.42578125" bestFit="1" customWidth="1"/>
    <col min="16" max="16" width="10.140625" bestFit="1" customWidth="1"/>
    <col min="18" max="18" width="8.140625" customWidth="1"/>
    <col min="19" max="19" width="10.42578125" customWidth="1"/>
    <col min="20" max="20" width="13.7109375" customWidth="1"/>
    <col min="21" max="21" width="11.85546875" customWidth="1"/>
    <col min="23" max="23" width="11.28515625" bestFit="1" customWidth="1"/>
    <col min="24" max="24" width="10.140625" bestFit="1" customWidth="1"/>
    <col min="26" max="27" width="10.140625" bestFit="1" customWidth="1"/>
    <col min="28" max="28" width="10.42578125" bestFit="1" customWidth="1"/>
  </cols>
  <sheetData>
    <row r="2" spans="6:24" x14ac:dyDescent="0.25">
      <c r="F2" s="2"/>
      <c r="G2" s="2" t="s">
        <v>19</v>
      </c>
      <c r="H2" s="2"/>
      <c r="S2" s="2"/>
      <c r="T2" s="2" t="s">
        <v>20</v>
      </c>
      <c r="U2" s="2"/>
      <c r="V2" s="2"/>
      <c r="W2" s="2"/>
      <c r="X2" s="2"/>
    </row>
    <row r="3" spans="6:24" x14ac:dyDescent="0.25">
      <c r="F3" s="10" t="s">
        <v>9</v>
      </c>
      <c r="G3" s="10" t="s">
        <v>13</v>
      </c>
      <c r="H3" s="10" t="s">
        <v>13</v>
      </c>
      <c r="S3" s="10" t="s">
        <v>9</v>
      </c>
      <c r="T3" s="10" t="s">
        <v>14</v>
      </c>
      <c r="U3" s="10" t="s">
        <v>13</v>
      </c>
    </row>
    <row r="4" spans="6:24" x14ac:dyDescent="0.25">
      <c r="F4" s="10" t="s">
        <v>15</v>
      </c>
      <c r="G4" s="13">
        <v>0.19685884000000001</v>
      </c>
      <c r="H4" s="11"/>
      <c r="S4" s="10" t="s">
        <v>10</v>
      </c>
      <c r="T4" s="12">
        <v>0.21540999999999999</v>
      </c>
      <c r="U4" s="11"/>
    </row>
    <row r="5" spans="6:24" x14ac:dyDescent="0.25">
      <c r="F5" s="10" t="s">
        <v>17</v>
      </c>
      <c r="G5" s="13">
        <v>0.1059489</v>
      </c>
      <c r="H5" s="11"/>
      <c r="S5" s="10" t="s">
        <v>11</v>
      </c>
      <c r="T5" s="13">
        <v>0.20023991367698099</v>
      </c>
      <c r="U5" s="11"/>
    </row>
    <row r="6" spans="6:24" x14ac:dyDescent="0.25">
      <c r="F6" s="10" t="s">
        <v>16</v>
      </c>
      <c r="G6" s="11"/>
      <c r="H6" s="13">
        <v>0.19947600000000001</v>
      </c>
      <c r="S6" s="10" t="s">
        <v>10</v>
      </c>
      <c r="T6" s="11"/>
      <c r="U6" s="12">
        <v>0.21540999999999999</v>
      </c>
    </row>
    <row r="7" spans="6:24" x14ac:dyDescent="0.25">
      <c r="F7" s="10" t="s">
        <v>18</v>
      </c>
      <c r="G7" s="11"/>
      <c r="H7" s="13">
        <v>0.17720150000000001</v>
      </c>
      <c r="S7" s="10" t="s">
        <v>12</v>
      </c>
      <c r="T7" s="11"/>
      <c r="U7" s="14">
        <v>0.21051</v>
      </c>
    </row>
    <row r="16" spans="6:24" x14ac:dyDescent="0.25">
      <c r="Q16" s="2"/>
      <c r="R16" s="2"/>
      <c r="S16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223F-FFD6-4136-BDA0-997DE55B0F4C}">
  <dimension ref="A1:G798"/>
  <sheetViews>
    <sheetView workbookViewId="0">
      <selection activeCell="E495" sqref="E495"/>
    </sheetView>
  </sheetViews>
  <sheetFormatPr defaultColWidth="12.5703125" defaultRowHeight="15.75" x14ac:dyDescent="0.25"/>
  <cols>
    <col min="1" max="16384" width="12.5703125" style="36"/>
  </cols>
  <sheetData>
    <row r="1" spans="1:2" x14ac:dyDescent="0.25">
      <c r="A1" s="35" t="s">
        <v>44</v>
      </c>
      <c r="B1" s="35"/>
    </row>
    <row r="2" spans="1:2" x14ac:dyDescent="0.25">
      <c r="A2" s="36" t="s">
        <v>45</v>
      </c>
    </row>
    <row r="3" spans="1:2" x14ac:dyDescent="0.25">
      <c r="A3" s="36" t="s">
        <v>46</v>
      </c>
      <c r="B3" s="36" t="s">
        <v>47</v>
      </c>
    </row>
    <row r="5" spans="1:2" x14ac:dyDescent="0.25">
      <c r="A5" s="36" t="s">
        <v>45</v>
      </c>
    </row>
    <row r="6" spans="1:2" x14ac:dyDescent="0.25">
      <c r="A6" s="36" t="s">
        <v>48</v>
      </c>
    </row>
    <row r="7" spans="1:2" x14ac:dyDescent="0.25">
      <c r="A7" s="36" t="s">
        <v>49</v>
      </c>
      <c r="B7" s="36" t="s">
        <v>50</v>
      </c>
    </row>
    <row r="8" spans="1:2" x14ac:dyDescent="0.25">
      <c r="A8" s="36" t="s">
        <v>51</v>
      </c>
      <c r="B8" s="36">
        <v>26</v>
      </c>
    </row>
    <row r="9" spans="1:2" x14ac:dyDescent="0.25">
      <c r="A9" s="36" t="s">
        <v>52</v>
      </c>
      <c r="B9" s="36">
        <v>78</v>
      </c>
    </row>
    <row r="10" spans="1:2" x14ac:dyDescent="0.25">
      <c r="A10" s="36" t="s">
        <v>53</v>
      </c>
    </row>
    <row r="12" spans="1:2" x14ac:dyDescent="0.25">
      <c r="A12" s="36" t="s">
        <v>45</v>
      </c>
    </row>
    <row r="13" spans="1:2" x14ac:dyDescent="0.25">
      <c r="A13" s="36" t="s">
        <v>54</v>
      </c>
    </row>
    <row r="15" spans="1:2" x14ac:dyDescent="0.25">
      <c r="A15" s="36" t="s">
        <v>55</v>
      </c>
    </row>
    <row r="17" spans="1:4" x14ac:dyDescent="0.25">
      <c r="A17" s="36" t="s">
        <v>56</v>
      </c>
    </row>
    <row r="19" spans="1:4" x14ac:dyDescent="0.25">
      <c r="A19" s="36" t="s">
        <v>57</v>
      </c>
      <c r="B19" s="36" t="s">
        <v>58</v>
      </c>
    </row>
    <row r="20" spans="1:4" x14ac:dyDescent="0.25">
      <c r="A20" s="36" t="s">
        <v>59</v>
      </c>
      <c r="B20" s="36" t="s">
        <v>60</v>
      </c>
    </row>
    <row r="21" spans="1:4" x14ac:dyDescent="0.25">
      <c r="A21" s="36" t="s">
        <v>61</v>
      </c>
      <c r="B21" s="36" t="s">
        <v>62</v>
      </c>
    </row>
    <row r="22" spans="1:4" x14ac:dyDescent="0.25">
      <c r="A22" s="36" t="s">
        <v>63</v>
      </c>
      <c r="B22" s="37">
        <v>3.0208333333333333E-3</v>
      </c>
    </row>
    <row r="23" spans="1:4" x14ac:dyDescent="0.25">
      <c r="A23" s="36" t="s">
        <v>64</v>
      </c>
      <c r="B23" s="36" t="s">
        <v>65</v>
      </c>
    </row>
    <row r="24" spans="1:4" x14ac:dyDescent="0.25">
      <c r="A24" s="36" t="s">
        <v>66</v>
      </c>
      <c r="B24" s="36" t="s">
        <v>67</v>
      </c>
    </row>
    <row r="26" spans="1:4" x14ac:dyDescent="0.25">
      <c r="A26" s="36" t="s">
        <v>68</v>
      </c>
    </row>
    <row r="27" spans="1:4" x14ac:dyDescent="0.25">
      <c r="A27" s="36" t="s">
        <v>69</v>
      </c>
    </row>
    <row r="28" spans="1:4" x14ac:dyDescent="0.25">
      <c r="A28" s="36" t="s">
        <v>70</v>
      </c>
      <c r="B28" s="36" t="s">
        <v>71</v>
      </c>
      <c r="C28" s="36" t="s">
        <v>72</v>
      </c>
      <c r="D28" s="36" t="s">
        <v>73</v>
      </c>
    </row>
    <row r="30" spans="1:4" x14ac:dyDescent="0.25">
      <c r="A30" s="36" t="s">
        <v>74</v>
      </c>
      <c r="C30" s="36">
        <v>301</v>
      </c>
    </row>
    <row r="31" spans="1:4" x14ac:dyDescent="0.25">
      <c r="A31" s="36" t="s">
        <v>75</v>
      </c>
      <c r="C31" s="36">
        <v>606</v>
      </c>
      <c r="D31" s="36" t="s">
        <v>76</v>
      </c>
    </row>
    <row r="32" spans="1:4" x14ac:dyDescent="0.25">
      <c r="A32" s="36" t="s">
        <v>77</v>
      </c>
      <c r="C32" s="36">
        <v>906</v>
      </c>
      <c r="D32" s="36" t="s">
        <v>76</v>
      </c>
    </row>
    <row r="33" spans="1:7" x14ac:dyDescent="0.25">
      <c r="A33" s="36" t="s">
        <v>78</v>
      </c>
      <c r="C33" s="36">
        <v>12.000909999999999</v>
      </c>
      <c r="D33" s="36" t="s">
        <v>79</v>
      </c>
    </row>
    <row r="34" spans="1:7" x14ac:dyDescent="0.25">
      <c r="A34" s="36" t="s">
        <v>51</v>
      </c>
      <c r="C34" s="36">
        <v>26</v>
      </c>
    </row>
    <row r="35" spans="1:7" x14ac:dyDescent="0.25">
      <c r="A35" s="36" t="s">
        <v>52</v>
      </c>
      <c r="C35" s="36">
        <v>78</v>
      </c>
    </row>
    <row r="37" spans="1:7" x14ac:dyDescent="0.25">
      <c r="A37" s="36" t="s">
        <v>80</v>
      </c>
      <c r="B37" s="36" t="s">
        <v>81</v>
      </c>
      <c r="C37" s="36">
        <v>440092490.16667002</v>
      </c>
      <c r="D37" s="36" t="s">
        <v>82</v>
      </c>
    </row>
    <row r="38" spans="1:7" x14ac:dyDescent="0.25">
      <c r="A38" s="36" t="s">
        <v>83</v>
      </c>
      <c r="B38" s="36" t="s">
        <v>84</v>
      </c>
      <c r="C38" s="36">
        <v>353456594.40416002</v>
      </c>
      <c r="D38" s="36" t="s">
        <v>82</v>
      </c>
    </row>
    <row r="39" spans="1:7" x14ac:dyDescent="0.25">
      <c r="A39" s="36" t="s">
        <v>85</v>
      </c>
      <c r="B39" s="36" t="s">
        <v>86</v>
      </c>
      <c r="C39" s="36">
        <v>80.314160000000001</v>
      </c>
      <c r="D39" s="36" t="s">
        <v>87</v>
      </c>
      <c r="F39" s="38">
        <f>100-C39</f>
        <v>19.685839999999999</v>
      </c>
      <c r="G39" s="38" t="s">
        <v>21</v>
      </c>
    </row>
    <row r="40" spans="1:7" x14ac:dyDescent="0.25">
      <c r="A40" s="36" t="s">
        <v>88</v>
      </c>
      <c r="B40" s="36" t="s">
        <v>89</v>
      </c>
      <c r="C40" s="36">
        <v>4282786.5172199998</v>
      </c>
      <c r="D40" s="36" t="s">
        <v>90</v>
      </c>
    </row>
    <row r="41" spans="1:7" x14ac:dyDescent="0.25">
      <c r="A41" s="36" t="s">
        <v>91</v>
      </c>
      <c r="B41" s="36" t="s">
        <v>92</v>
      </c>
      <c r="C41" s="36">
        <v>67874590.421959996</v>
      </c>
      <c r="D41" s="36" t="s">
        <v>90</v>
      </c>
    </row>
    <row r="42" spans="1:7" x14ac:dyDescent="0.25">
      <c r="A42" s="36" t="s">
        <v>93</v>
      </c>
      <c r="B42" s="36" t="s">
        <v>94</v>
      </c>
      <c r="C42" s="36">
        <v>2180364.52587</v>
      </c>
      <c r="D42" s="36" t="s">
        <v>90</v>
      </c>
    </row>
    <row r="43" spans="1:7" x14ac:dyDescent="0.25">
      <c r="A43" s="36" t="s">
        <v>95</v>
      </c>
      <c r="B43" s="36" t="s">
        <v>96</v>
      </c>
      <c r="C43" s="36">
        <v>0.19203000000000001</v>
      </c>
      <c r="D43" s="36" t="s">
        <v>97</v>
      </c>
    </row>
    <row r="44" spans="1:7" x14ac:dyDescent="0.25">
      <c r="A44" s="36" t="s">
        <v>98</v>
      </c>
      <c r="B44" s="36" t="s">
        <v>99</v>
      </c>
      <c r="C44" s="36">
        <v>0.15423000000000001</v>
      </c>
      <c r="D44" s="36" t="s">
        <v>97</v>
      </c>
    </row>
    <row r="45" spans="1:7" x14ac:dyDescent="0.25">
      <c r="A45" s="36" t="s">
        <v>100</v>
      </c>
      <c r="B45" s="36" t="s">
        <v>101</v>
      </c>
      <c r="C45" s="36">
        <v>-4.6855599999999997</v>
      </c>
      <c r="D45" s="36" t="s">
        <v>76</v>
      </c>
    </row>
    <row r="46" spans="1:7" x14ac:dyDescent="0.25">
      <c r="A46" s="36" t="s">
        <v>102</v>
      </c>
      <c r="B46" s="36" t="s">
        <v>103</v>
      </c>
      <c r="C46" s="36">
        <v>-14.69186</v>
      </c>
      <c r="D46" s="36" t="s">
        <v>76</v>
      </c>
    </row>
    <row r="47" spans="1:7" x14ac:dyDescent="0.25">
      <c r="A47" s="36" t="s">
        <v>104</v>
      </c>
      <c r="B47" s="36" t="s">
        <v>105</v>
      </c>
      <c r="C47" s="36">
        <v>758.23494000000005</v>
      </c>
      <c r="D47" s="36" t="s">
        <v>76</v>
      </c>
    </row>
    <row r="48" spans="1:7" x14ac:dyDescent="0.25">
      <c r="A48" s="36" t="s">
        <v>106</v>
      </c>
      <c r="B48" s="36" t="s">
        <v>107</v>
      </c>
      <c r="C48" s="36">
        <v>11.75137</v>
      </c>
      <c r="D48" s="36" t="s">
        <v>76</v>
      </c>
    </row>
    <row r="49" spans="1:4" x14ac:dyDescent="0.25">
      <c r="A49" s="36" t="s">
        <v>108</v>
      </c>
      <c r="B49" s="36" t="s">
        <v>109</v>
      </c>
      <c r="C49" s="36">
        <v>6.8339999999999998E-2</v>
      </c>
      <c r="D49" s="36" t="s">
        <v>97</v>
      </c>
    </row>
    <row r="50" spans="1:4" x14ac:dyDescent="0.25">
      <c r="A50" s="36" t="s">
        <v>110</v>
      </c>
      <c r="B50" s="36" t="s">
        <v>111</v>
      </c>
      <c r="C50" s="36">
        <v>5.75976</v>
      </c>
      <c r="D50" s="36" t="s">
        <v>76</v>
      </c>
    </row>
    <row r="52" spans="1:4" x14ac:dyDescent="0.25">
      <c r="A52" s="36" t="s">
        <v>112</v>
      </c>
      <c r="B52" s="36" t="s">
        <v>107</v>
      </c>
    </row>
    <row r="53" spans="1:4" x14ac:dyDescent="0.25">
      <c r="A53" s="36" t="s">
        <v>113</v>
      </c>
      <c r="B53" s="36" t="s">
        <v>114</v>
      </c>
      <c r="C53" s="36" t="s">
        <v>115</v>
      </c>
      <c r="D53" s="36" t="s">
        <v>116</v>
      </c>
    </row>
    <row r="54" spans="1:4" x14ac:dyDescent="0.25">
      <c r="A54" s="36" t="s">
        <v>76</v>
      </c>
      <c r="B54" s="36" t="s">
        <v>76</v>
      </c>
      <c r="C54" s="36" t="s">
        <v>82</v>
      </c>
      <c r="D54" s="36" t="s">
        <v>87</v>
      </c>
    </row>
    <row r="55" spans="1:4" x14ac:dyDescent="0.25">
      <c r="A55" s="36" t="s">
        <v>117</v>
      </c>
      <c r="B55" s="36">
        <v>2</v>
      </c>
      <c r="C55" s="36">
        <v>1866717</v>
      </c>
      <c r="D55" s="36">
        <v>0.53080000000000005</v>
      </c>
    </row>
    <row r="56" spans="1:4" x14ac:dyDescent="0.25">
      <c r="A56" s="36" t="s">
        <v>118</v>
      </c>
      <c r="B56" s="36">
        <v>4</v>
      </c>
      <c r="C56" s="36">
        <v>12570061</v>
      </c>
      <c r="D56" s="36">
        <v>3.5745</v>
      </c>
    </row>
    <row r="57" spans="1:4" x14ac:dyDescent="0.25">
      <c r="A57" s="36" t="s">
        <v>119</v>
      </c>
      <c r="B57" s="36">
        <v>6</v>
      </c>
      <c r="C57" s="36">
        <v>22962129</v>
      </c>
      <c r="D57" s="36">
        <v>6.5296000000000003</v>
      </c>
    </row>
    <row r="58" spans="1:4" x14ac:dyDescent="0.25">
      <c r="A58" s="36" t="s">
        <v>120</v>
      </c>
      <c r="B58" s="36">
        <v>8</v>
      </c>
      <c r="C58" s="36">
        <v>50732646</v>
      </c>
      <c r="D58" s="36">
        <v>14.426399999999999</v>
      </c>
    </row>
    <row r="59" spans="1:4" x14ac:dyDescent="0.25">
      <c r="A59" s="36" t="s">
        <v>121</v>
      </c>
      <c r="B59" s="36">
        <v>10</v>
      </c>
      <c r="C59" s="36">
        <v>66294463</v>
      </c>
      <c r="D59" s="36">
        <v>18.851600000000001</v>
      </c>
    </row>
    <row r="60" spans="1:4" x14ac:dyDescent="0.25">
      <c r="A60" s="36" t="s">
        <v>122</v>
      </c>
      <c r="B60" s="36">
        <v>12</v>
      </c>
      <c r="C60" s="36">
        <v>62359108</v>
      </c>
      <c r="D60" s="36">
        <v>17.732600000000001</v>
      </c>
    </row>
    <row r="61" spans="1:4" x14ac:dyDescent="0.25">
      <c r="A61" s="36" t="s">
        <v>123</v>
      </c>
      <c r="B61" s="36">
        <v>14</v>
      </c>
      <c r="C61" s="36">
        <v>62965078</v>
      </c>
      <c r="D61" s="36">
        <v>17.904900000000001</v>
      </c>
    </row>
    <row r="62" spans="1:4" x14ac:dyDescent="0.25">
      <c r="A62" s="36" t="s">
        <v>124</v>
      </c>
      <c r="B62" s="36">
        <v>16</v>
      </c>
      <c r="C62" s="36">
        <v>40863931</v>
      </c>
      <c r="D62" s="36">
        <v>11.620200000000001</v>
      </c>
    </row>
    <row r="63" spans="1:4" x14ac:dyDescent="0.25">
      <c r="A63" s="36" t="s">
        <v>125</v>
      </c>
      <c r="B63" s="36">
        <v>18</v>
      </c>
      <c r="C63" s="36">
        <v>20076302</v>
      </c>
      <c r="D63" s="36">
        <v>5.7088999999999999</v>
      </c>
    </row>
    <row r="64" spans="1:4" x14ac:dyDescent="0.25">
      <c r="A64" s="36" t="s">
        <v>126</v>
      </c>
      <c r="B64" s="36">
        <v>20</v>
      </c>
      <c r="C64" s="36">
        <v>7922046</v>
      </c>
      <c r="D64" s="36">
        <v>2.2526999999999999</v>
      </c>
    </row>
    <row r="65" spans="1:4" x14ac:dyDescent="0.25">
      <c r="A65" s="36" t="s">
        <v>127</v>
      </c>
      <c r="B65" s="36">
        <v>22</v>
      </c>
      <c r="C65" s="36">
        <v>2465772</v>
      </c>
      <c r="D65" s="36">
        <v>0.70120000000000005</v>
      </c>
    </row>
    <row r="66" spans="1:4" x14ac:dyDescent="0.25">
      <c r="A66" s="36" t="s">
        <v>128</v>
      </c>
      <c r="B66" s="36">
        <v>24</v>
      </c>
      <c r="C66" s="36">
        <v>497593</v>
      </c>
      <c r="D66" s="36">
        <v>0.14149999999999999</v>
      </c>
    </row>
    <row r="67" spans="1:4" x14ac:dyDescent="0.25">
      <c r="A67" s="36" t="s">
        <v>129</v>
      </c>
      <c r="B67" s="36">
        <v>26</v>
      </c>
      <c r="C67" s="36">
        <v>88286</v>
      </c>
      <c r="D67" s="36">
        <v>2.5100000000000001E-2</v>
      </c>
    </row>
    <row r="68" spans="1:4" x14ac:dyDescent="0.25">
      <c r="A68" s="36" t="s">
        <v>130</v>
      </c>
      <c r="B68" s="36" t="s">
        <v>131</v>
      </c>
      <c r="C68" s="36">
        <v>3.8982199999999998</v>
      </c>
      <c r="D68" s="36" t="s">
        <v>76</v>
      </c>
    </row>
    <row r="70" spans="1:4" x14ac:dyDescent="0.25">
      <c r="A70" s="36" t="s">
        <v>132</v>
      </c>
      <c r="B70" s="36" t="s">
        <v>111</v>
      </c>
    </row>
    <row r="71" spans="1:4" x14ac:dyDescent="0.25">
      <c r="A71" s="36" t="s">
        <v>113</v>
      </c>
      <c r="B71" s="36" t="s">
        <v>114</v>
      </c>
      <c r="C71" s="36" t="s">
        <v>115</v>
      </c>
      <c r="D71" s="36" t="s">
        <v>116</v>
      </c>
    </row>
    <row r="72" spans="1:4" x14ac:dyDescent="0.25">
      <c r="A72" s="36" t="s">
        <v>76</v>
      </c>
      <c r="B72" s="36" t="s">
        <v>76</v>
      </c>
      <c r="C72" s="36" t="s">
        <v>82</v>
      </c>
      <c r="D72" s="36" t="s">
        <v>87</v>
      </c>
    </row>
    <row r="73" spans="1:4" x14ac:dyDescent="0.25">
      <c r="A73" s="36" t="s">
        <v>117</v>
      </c>
      <c r="B73" s="36">
        <v>2</v>
      </c>
      <c r="C73" s="36">
        <v>10820914</v>
      </c>
      <c r="D73" s="36">
        <v>12.236800000000001</v>
      </c>
    </row>
    <row r="74" spans="1:4" x14ac:dyDescent="0.25">
      <c r="A74" s="36" t="s">
        <v>118</v>
      </c>
      <c r="B74" s="36">
        <v>4</v>
      </c>
      <c r="C74" s="36">
        <v>31989934</v>
      </c>
      <c r="D74" s="36">
        <v>36.175600000000003</v>
      </c>
    </row>
    <row r="75" spans="1:4" x14ac:dyDescent="0.25">
      <c r="A75" s="36" t="s">
        <v>119</v>
      </c>
      <c r="B75" s="36">
        <v>6</v>
      </c>
      <c r="C75" s="36">
        <v>22127114</v>
      </c>
      <c r="D75" s="36">
        <v>25.022300000000001</v>
      </c>
    </row>
    <row r="76" spans="1:4" x14ac:dyDescent="0.25">
      <c r="A76" s="36" t="s">
        <v>120</v>
      </c>
      <c r="B76" s="36">
        <v>8</v>
      </c>
      <c r="C76" s="36">
        <v>14004250</v>
      </c>
      <c r="D76" s="36">
        <v>15.836600000000001</v>
      </c>
    </row>
    <row r="77" spans="1:4" x14ac:dyDescent="0.25">
      <c r="A77" s="36" t="s">
        <v>121</v>
      </c>
      <c r="B77" s="36">
        <v>10</v>
      </c>
      <c r="C77" s="36">
        <v>5384468</v>
      </c>
      <c r="D77" s="36">
        <v>6.0890000000000004</v>
      </c>
    </row>
    <row r="78" spans="1:4" x14ac:dyDescent="0.25">
      <c r="A78" s="36" t="s">
        <v>122</v>
      </c>
      <c r="B78" s="36">
        <v>12</v>
      </c>
      <c r="C78" s="36">
        <v>1974501</v>
      </c>
      <c r="D78" s="36">
        <v>2.2328999999999999</v>
      </c>
    </row>
    <row r="79" spans="1:4" x14ac:dyDescent="0.25">
      <c r="A79" s="36" t="s">
        <v>123</v>
      </c>
      <c r="B79" s="36">
        <v>14</v>
      </c>
      <c r="C79" s="36">
        <v>964003</v>
      </c>
      <c r="D79" s="36">
        <v>1.0901000000000001</v>
      </c>
    </row>
    <row r="80" spans="1:4" x14ac:dyDescent="0.25">
      <c r="A80" s="36" t="s">
        <v>124</v>
      </c>
      <c r="B80" s="36">
        <v>16</v>
      </c>
      <c r="C80" s="36">
        <v>350146</v>
      </c>
      <c r="D80" s="36">
        <v>0.39600000000000002</v>
      </c>
    </row>
    <row r="81" spans="1:4" x14ac:dyDescent="0.25">
      <c r="A81" s="36" t="s">
        <v>125</v>
      </c>
      <c r="B81" s="36">
        <v>18</v>
      </c>
      <c r="C81" s="36">
        <v>228219</v>
      </c>
      <c r="D81" s="36">
        <v>0.2581</v>
      </c>
    </row>
    <row r="82" spans="1:4" x14ac:dyDescent="0.25">
      <c r="A82" s="36" t="s">
        <v>126</v>
      </c>
      <c r="B82" s="36">
        <v>20</v>
      </c>
      <c r="C82" s="36">
        <v>168067</v>
      </c>
      <c r="D82" s="36">
        <v>0.19009999999999999</v>
      </c>
    </row>
    <row r="83" spans="1:4" x14ac:dyDescent="0.25">
      <c r="A83" s="36" t="s">
        <v>127</v>
      </c>
      <c r="B83" s="36">
        <v>22</v>
      </c>
      <c r="C83" s="36">
        <v>168679</v>
      </c>
      <c r="D83" s="36">
        <v>0.19070000000000001</v>
      </c>
    </row>
    <row r="84" spans="1:4" x14ac:dyDescent="0.25">
      <c r="A84" s="36" t="s">
        <v>128</v>
      </c>
      <c r="B84" s="36">
        <v>24</v>
      </c>
      <c r="C84" s="36">
        <v>78972</v>
      </c>
      <c r="D84" s="36">
        <v>8.9300000000000004E-2</v>
      </c>
    </row>
    <row r="85" spans="1:4" x14ac:dyDescent="0.25">
      <c r="A85" s="36" t="s">
        <v>129</v>
      </c>
      <c r="B85" s="36">
        <v>26</v>
      </c>
      <c r="C85" s="36">
        <v>27851</v>
      </c>
      <c r="D85" s="36">
        <v>3.15E-2</v>
      </c>
    </row>
    <row r="86" spans="1:4" x14ac:dyDescent="0.25">
      <c r="A86" s="36" t="s">
        <v>133</v>
      </c>
      <c r="B86" s="36">
        <v>28</v>
      </c>
      <c r="C86" s="36">
        <v>25831</v>
      </c>
      <c r="D86" s="36">
        <v>2.92E-2</v>
      </c>
    </row>
    <row r="87" spans="1:4" x14ac:dyDescent="0.25">
      <c r="A87" s="36" t="s">
        <v>134</v>
      </c>
      <c r="B87" s="36">
        <v>30</v>
      </c>
      <c r="C87" s="36">
        <v>36310</v>
      </c>
      <c r="D87" s="36">
        <v>4.1099999999999998E-2</v>
      </c>
    </row>
    <row r="88" spans="1:4" x14ac:dyDescent="0.25">
      <c r="A88" s="36" t="s">
        <v>135</v>
      </c>
      <c r="B88" s="36">
        <v>32</v>
      </c>
      <c r="C88" s="36">
        <v>48025</v>
      </c>
      <c r="D88" s="36">
        <v>5.4300000000000001E-2</v>
      </c>
    </row>
    <row r="89" spans="1:4" x14ac:dyDescent="0.25">
      <c r="A89" s="36" t="s">
        <v>136</v>
      </c>
      <c r="B89" s="36">
        <v>34</v>
      </c>
      <c r="C89" s="36">
        <v>5289</v>
      </c>
      <c r="D89" s="36">
        <v>6.0000000000000001E-3</v>
      </c>
    </row>
    <row r="90" spans="1:4" x14ac:dyDescent="0.25">
      <c r="A90" s="36" t="s">
        <v>137</v>
      </c>
      <c r="B90" s="36">
        <v>36</v>
      </c>
      <c r="C90" s="36">
        <v>26900</v>
      </c>
      <c r="D90" s="36">
        <v>3.04E-2</v>
      </c>
    </row>
    <row r="91" spans="1:4" x14ac:dyDescent="0.25">
      <c r="A91" s="36" t="s">
        <v>138</v>
      </c>
      <c r="B91" s="36" t="s">
        <v>139</v>
      </c>
      <c r="C91" s="36">
        <v>3.09287</v>
      </c>
      <c r="D91" s="36" t="s">
        <v>76</v>
      </c>
    </row>
    <row r="96" spans="1:4" x14ac:dyDescent="0.25">
      <c r="A96" s="36" t="s">
        <v>45</v>
      </c>
    </row>
    <row r="97" spans="1:4" x14ac:dyDescent="0.25">
      <c r="A97" s="36" t="s">
        <v>140</v>
      </c>
    </row>
    <row r="99" spans="1:4" x14ac:dyDescent="0.25">
      <c r="A99" s="36" t="s">
        <v>141</v>
      </c>
    </row>
    <row r="101" spans="1:4" x14ac:dyDescent="0.25">
      <c r="A101" s="36" t="s">
        <v>142</v>
      </c>
    </row>
    <row r="103" spans="1:4" x14ac:dyDescent="0.25">
      <c r="A103" s="36" t="s">
        <v>57</v>
      </c>
      <c r="B103" s="36" t="s">
        <v>143</v>
      </c>
    </row>
    <row r="104" spans="1:4" x14ac:dyDescent="0.25">
      <c r="A104" s="36" t="s">
        <v>59</v>
      </c>
      <c r="B104" s="36" t="s">
        <v>60</v>
      </c>
    </row>
    <row r="105" spans="1:4" x14ac:dyDescent="0.25">
      <c r="A105" s="36" t="s">
        <v>61</v>
      </c>
      <c r="B105" s="36" t="s">
        <v>62</v>
      </c>
    </row>
    <row r="106" spans="1:4" x14ac:dyDescent="0.25">
      <c r="A106" s="36" t="s">
        <v>63</v>
      </c>
      <c r="B106" s="37">
        <v>3.0208333333333333E-3</v>
      </c>
    </row>
    <row r="107" spans="1:4" x14ac:dyDescent="0.25">
      <c r="A107" s="36" t="s">
        <v>64</v>
      </c>
      <c r="B107" s="36" t="s">
        <v>65</v>
      </c>
    </row>
    <row r="108" spans="1:4" x14ac:dyDescent="0.25">
      <c r="A108" s="36" t="s">
        <v>66</v>
      </c>
      <c r="B108" s="36" t="s">
        <v>67</v>
      </c>
    </row>
    <row r="110" spans="1:4" x14ac:dyDescent="0.25">
      <c r="A110" s="36" t="s">
        <v>68</v>
      </c>
    </row>
    <row r="111" spans="1:4" x14ac:dyDescent="0.25">
      <c r="A111" s="36" t="s">
        <v>69</v>
      </c>
    </row>
    <row r="112" spans="1:4" x14ac:dyDescent="0.25">
      <c r="A112" s="36" t="s">
        <v>70</v>
      </c>
      <c r="B112" s="36" t="s">
        <v>71</v>
      </c>
      <c r="C112" s="36" t="s">
        <v>72</v>
      </c>
      <c r="D112" s="36" t="s">
        <v>73</v>
      </c>
    </row>
    <row r="114" spans="1:4" x14ac:dyDescent="0.25">
      <c r="A114" s="36" t="s">
        <v>74</v>
      </c>
      <c r="C114" s="36">
        <v>301</v>
      </c>
    </row>
    <row r="115" spans="1:4" x14ac:dyDescent="0.25">
      <c r="A115" s="36" t="s">
        <v>75</v>
      </c>
      <c r="C115" s="36">
        <v>606</v>
      </c>
      <c r="D115" s="36" t="s">
        <v>76</v>
      </c>
    </row>
    <row r="116" spans="1:4" x14ac:dyDescent="0.25">
      <c r="A116" s="36" t="s">
        <v>77</v>
      </c>
      <c r="C116" s="36">
        <v>906</v>
      </c>
      <c r="D116" s="36" t="s">
        <v>76</v>
      </c>
    </row>
    <row r="117" spans="1:4" x14ac:dyDescent="0.25">
      <c r="A117" s="36" t="s">
        <v>78</v>
      </c>
      <c r="C117" s="36">
        <v>12.000909999999999</v>
      </c>
      <c r="D117" s="36" t="s">
        <v>79</v>
      </c>
    </row>
    <row r="118" spans="1:4" x14ac:dyDescent="0.25">
      <c r="A118" s="36" t="s">
        <v>51</v>
      </c>
      <c r="C118" s="36">
        <v>26</v>
      </c>
    </row>
    <row r="119" spans="1:4" x14ac:dyDescent="0.25">
      <c r="A119" s="36" t="s">
        <v>52</v>
      </c>
      <c r="C119" s="36">
        <v>78</v>
      </c>
    </row>
    <row r="121" spans="1:4" x14ac:dyDescent="0.25">
      <c r="A121" s="36" t="s">
        <v>80</v>
      </c>
      <c r="B121" s="36" t="s">
        <v>81</v>
      </c>
      <c r="C121" s="36">
        <v>440092490.16667002</v>
      </c>
      <c r="D121" s="36" t="s">
        <v>82</v>
      </c>
    </row>
    <row r="122" spans="1:4" x14ac:dyDescent="0.25">
      <c r="A122" s="36" t="s">
        <v>83</v>
      </c>
      <c r="B122" s="36" t="s">
        <v>84</v>
      </c>
      <c r="C122" s="36">
        <v>353456594.40416002</v>
      </c>
      <c r="D122" s="36" t="s">
        <v>82</v>
      </c>
    </row>
    <row r="123" spans="1:4" x14ac:dyDescent="0.25">
      <c r="A123" s="36" t="s">
        <v>85</v>
      </c>
      <c r="B123" s="36" t="s">
        <v>86</v>
      </c>
      <c r="C123" s="36">
        <v>80.314160000000001</v>
      </c>
      <c r="D123" s="36" t="s">
        <v>87</v>
      </c>
    </row>
    <row r="124" spans="1:4" x14ac:dyDescent="0.25">
      <c r="A124" s="36" t="s">
        <v>88</v>
      </c>
      <c r="B124" s="36" t="s">
        <v>89</v>
      </c>
      <c r="C124" s="36">
        <v>4282786.5172199998</v>
      </c>
      <c r="D124" s="36" t="s">
        <v>90</v>
      </c>
    </row>
    <row r="125" spans="1:4" x14ac:dyDescent="0.25">
      <c r="A125" s="36" t="s">
        <v>91</v>
      </c>
      <c r="B125" s="36" t="s">
        <v>92</v>
      </c>
      <c r="C125" s="36">
        <v>67874590.421959996</v>
      </c>
      <c r="D125" s="36" t="s">
        <v>90</v>
      </c>
    </row>
    <row r="126" spans="1:4" x14ac:dyDescent="0.25">
      <c r="A126" s="36" t="s">
        <v>93</v>
      </c>
      <c r="B126" s="36" t="s">
        <v>94</v>
      </c>
      <c r="C126" s="36">
        <v>2180364.52587</v>
      </c>
      <c r="D126" s="36" t="s">
        <v>90</v>
      </c>
    </row>
    <row r="127" spans="1:4" x14ac:dyDescent="0.25">
      <c r="A127" s="36" t="s">
        <v>95</v>
      </c>
      <c r="B127" s="36" t="s">
        <v>96</v>
      </c>
      <c r="C127" s="36">
        <v>0.19203000000000001</v>
      </c>
      <c r="D127" s="36" t="s">
        <v>97</v>
      </c>
    </row>
    <row r="128" spans="1:4" x14ac:dyDescent="0.25">
      <c r="A128" s="36" t="s">
        <v>98</v>
      </c>
      <c r="B128" s="36" t="s">
        <v>99</v>
      </c>
      <c r="C128" s="36">
        <v>0.15423000000000001</v>
      </c>
      <c r="D128" s="36" t="s">
        <v>97</v>
      </c>
    </row>
    <row r="129" spans="1:4" x14ac:dyDescent="0.25">
      <c r="A129" s="36" t="s">
        <v>100</v>
      </c>
      <c r="B129" s="36" t="s">
        <v>101</v>
      </c>
      <c r="C129" s="36">
        <v>-4.6855599999999997</v>
      </c>
      <c r="D129" s="36" t="s">
        <v>76</v>
      </c>
    </row>
    <row r="130" spans="1:4" x14ac:dyDescent="0.25">
      <c r="A130" s="36" t="s">
        <v>102</v>
      </c>
      <c r="B130" s="36" t="s">
        <v>103</v>
      </c>
      <c r="C130" s="36">
        <v>-14.69186</v>
      </c>
      <c r="D130" s="36" t="s">
        <v>76</v>
      </c>
    </row>
    <row r="131" spans="1:4" x14ac:dyDescent="0.25">
      <c r="A131" s="36" t="s">
        <v>104</v>
      </c>
      <c r="B131" s="36" t="s">
        <v>105</v>
      </c>
      <c r="C131" s="36">
        <v>758.23494000000005</v>
      </c>
      <c r="D131" s="36" t="s">
        <v>76</v>
      </c>
    </row>
    <row r="132" spans="1:4" x14ac:dyDescent="0.25">
      <c r="A132" s="36" t="s">
        <v>106</v>
      </c>
      <c r="B132" s="36" t="s">
        <v>107</v>
      </c>
      <c r="C132" s="36">
        <v>11.75137</v>
      </c>
      <c r="D132" s="36" t="s">
        <v>76</v>
      </c>
    </row>
    <row r="133" spans="1:4" x14ac:dyDescent="0.25">
      <c r="A133" s="36" t="s">
        <v>108</v>
      </c>
      <c r="B133" s="36" t="s">
        <v>109</v>
      </c>
      <c r="C133" s="36">
        <v>6.8339999999999998E-2</v>
      </c>
      <c r="D133" s="36" t="s">
        <v>97</v>
      </c>
    </row>
    <row r="134" spans="1:4" x14ac:dyDescent="0.25">
      <c r="A134" s="36" t="s">
        <v>110</v>
      </c>
      <c r="B134" s="36" t="s">
        <v>111</v>
      </c>
      <c r="C134" s="36">
        <v>5.75976</v>
      </c>
      <c r="D134" s="36" t="s">
        <v>76</v>
      </c>
    </row>
    <row r="136" spans="1:4" x14ac:dyDescent="0.25">
      <c r="A136" s="36" t="s">
        <v>112</v>
      </c>
      <c r="B136" s="36" t="s">
        <v>107</v>
      </c>
    </row>
    <row r="137" spans="1:4" x14ac:dyDescent="0.25">
      <c r="A137" s="36" t="s">
        <v>113</v>
      </c>
      <c r="B137" s="36" t="s">
        <v>114</v>
      </c>
      <c r="C137" s="36" t="s">
        <v>115</v>
      </c>
      <c r="D137" s="36" t="s">
        <v>116</v>
      </c>
    </row>
    <row r="138" spans="1:4" x14ac:dyDescent="0.25">
      <c r="A138" s="36" t="s">
        <v>76</v>
      </c>
      <c r="B138" s="36" t="s">
        <v>76</v>
      </c>
      <c r="C138" s="36" t="s">
        <v>82</v>
      </c>
      <c r="D138" s="36" t="s">
        <v>87</v>
      </c>
    </row>
    <row r="139" spans="1:4" x14ac:dyDescent="0.25">
      <c r="A139" s="36" t="s">
        <v>117</v>
      </c>
      <c r="B139" s="36">
        <v>2</v>
      </c>
      <c r="C139" s="36">
        <v>1866716</v>
      </c>
      <c r="D139" s="36">
        <v>0.53080000000000005</v>
      </c>
    </row>
    <row r="140" spans="1:4" x14ac:dyDescent="0.25">
      <c r="A140" s="36" t="s">
        <v>118</v>
      </c>
      <c r="B140" s="36">
        <v>4</v>
      </c>
      <c r="C140" s="36">
        <v>12570063</v>
      </c>
      <c r="D140" s="36">
        <v>3.5745</v>
      </c>
    </row>
    <row r="141" spans="1:4" x14ac:dyDescent="0.25">
      <c r="A141" s="36" t="s">
        <v>119</v>
      </c>
      <c r="B141" s="36">
        <v>6</v>
      </c>
      <c r="C141" s="36">
        <v>22962177</v>
      </c>
      <c r="D141" s="36">
        <v>6.5296000000000003</v>
      </c>
    </row>
    <row r="142" spans="1:4" x14ac:dyDescent="0.25">
      <c r="A142" s="36" t="s">
        <v>120</v>
      </c>
      <c r="B142" s="36">
        <v>8</v>
      </c>
      <c r="C142" s="36">
        <v>50732604</v>
      </c>
      <c r="D142" s="36">
        <v>14.426399999999999</v>
      </c>
    </row>
    <row r="143" spans="1:4" x14ac:dyDescent="0.25">
      <c r="A143" s="36" t="s">
        <v>121</v>
      </c>
      <c r="B143" s="36">
        <v>10</v>
      </c>
      <c r="C143" s="36">
        <v>66294449</v>
      </c>
      <c r="D143" s="36">
        <v>18.851600000000001</v>
      </c>
    </row>
    <row r="144" spans="1:4" x14ac:dyDescent="0.25">
      <c r="A144" s="36" t="s">
        <v>122</v>
      </c>
      <c r="B144" s="36">
        <v>12</v>
      </c>
      <c r="C144" s="36">
        <v>62359136</v>
      </c>
      <c r="D144" s="36">
        <v>17.732600000000001</v>
      </c>
    </row>
    <row r="145" spans="1:4" x14ac:dyDescent="0.25">
      <c r="A145" s="36" t="s">
        <v>123</v>
      </c>
      <c r="B145" s="36">
        <v>14</v>
      </c>
      <c r="C145" s="36">
        <v>62965058</v>
      </c>
      <c r="D145" s="36">
        <v>17.904900000000001</v>
      </c>
    </row>
    <row r="146" spans="1:4" x14ac:dyDescent="0.25">
      <c r="A146" s="36" t="s">
        <v>124</v>
      </c>
      <c r="B146" s="36">
        <v>16</v>
      </c>
      <c r="C146" s="36">
        <v>40863919</v>
      </c>
      <c r="D146" s="36">
        <v>11.620200000000001</v>
      </c>
    </row>
    <row r="147" spans="1:4" x14ac:dyDescent="0.25">
      <c r="A147" s="36" t="s">
        <v>125</v>
      </c>
      <c r="B147" s="36">
        <v>18</v>
      </c>
      <c r="C147" s="36">
        <v>20076318</v>
      </c>
      <c r="D147" s="36">
        <v>5.7088999999999999</v>
      </c>
    </row>
    <row r="148" spans="1:4" x14ac:dyDescent="0.25">
      <c r="A148" s="36" t="s">
        <v>126</v>
      </c>
      <c r="B148" s="36">
        <v>20</v>
      </c>
      <c r="C148" s="36">
        <v>7922035</v>
      </c>
      <c r="D148" s="36">
        <v>2.2526999999999999</v>
      </c>
    </row>
    <row r="149" spans="1:4" x14ac:dyDescent="0.25">
      <c r="A149" s="36" t="s">
        <v>127</v>
      </c>
      <c r="B149" s="36">
        <v>22</v>
      </c>
      <c r="C149" s="36">
        <v>2465778</v>
      </c>
      <c r="D149" s="36">
        <v>0.70120000000000005</v>
      </c>
    </row>
    <row r="150" spans="1:4" x14ac:dyDescent="0.25">
      <c r="A150" s="36" t="s">
        <v>128</v>
      </c>
      <c r="B150" s="36">
        <v>24</v>
      </c>
      <c r="C150" s="36">
        <v>497593</v>
      </c>
      <c r="D150" s="36">
        <v>0.14149999999999999</v>
      </c>
    </row>
    <row r="151" spans="1:4" x14ac:dyDescent="0.25">
      <c r="A151" s="36" t="s">
        <v>129</v>
      </c>
      <c r="B151" s="36">
        <v>26</v>
      </c>
      <c r="C151" s="36">
        <v>88286</v>
      </c>
      <c r="D151" s="36">
        <v>2.5100000000000001E-2</v>
      </c>
    </row>
    <row r="152" spans="1:4" x14ac:dyDescent="0.25">
      <c r="A152" s="36" t="s">
        <v>130</v>
      </c>
      <c r="B152" s="36" t="s">
        <v>131</v>
      </c>
      <c r="C152" s="36">
        <v>3.8982199999999998</v>
      </c>
      <c r="D152" s="36" t="s">
        <v>76</v>
      </c>
    </row>
    <row r="154" spans="1:4" x14ac:dyDescent="0.25">
      <c r="A154" s="36" t="s">
        <v>132</v>
      </c>
      <c r="B154" s="36" t="s">
        <v>111</v>
      </c>
    </row>
    <row r="155" spans="1:4" x14ac:dyDescent="0.25">
      <c r="A155" s="36" t="s">
        <v>113</v>
      </c>
      <c r="B155" s="36" t="s">
        <v>114</v>
      </c>
      <c r="C155" s="36" t="s">
        <v>115</v>
      </c>
      <c r="D155" s="36" t="s">
        <v>116</v>
      </c>
    </row>
    <row r="156" spans="1:4" x14ac:dyDescent="0.25">
      <c r="A156" s="36" t="s">
        <v>76</v>
      </c>
      <c r="B156" s="36" t="s">
        <v>76</v>
      </c>
      <c r="C156" s="36" t="s">
        <v>82</v>
      </c>
      <c r="D156" s="36" t="s">
        <v>87</v>
      </c>
    </row>
    <row r="157" spans="1:4" x14ac:dyDescent="0.25">
      <c r="A157" s="36" t="s">
        <v>117</v>
      </c>
      <c r="B157" s="36">
        <v>2</v>
      </c>
      <c r="C157" s="36">
        <v>10820919</v>
      </c>
      <c r="D157" s="36">
        <v>12.236800000000001</v>
      </c>
    </row>
    <row r="158" spans="1:4" x14ac:dyDescent="0.25">
      <c r="A158" s="36" t="s">
        <v>118</v>
      </c>
      <c r="B158" s="36">
        <v>4</v>
      </c>
      <c r="C158" s="36">
        <v>31989928</v>
      </c>
      <c r="D158" s="36">
        <v>36.175600000000003</v>
      </c>
    </row>
    <row r="159" spans="1:4" x14ac:dyDescent="0.25">
      <c r="A159" s="36" t="s">
        <v>119</v>
      </c>
      <c r="B159" s="36">
        <v>6</v>
      </c>
      <c r="C159" s="36">
        <v>22127129</v>
      </c>
      <c r="D159" s="36">
        <v>25.022300000000001</v>
      </c>
    </row>
    <row r="160" spans="1:4" x14ac:dyDescent="0.25">
      <c r="A160" s="36" t="s">
        <v>120</v>
      </c>
      <c r="B160" s="36">
        <v>8</v>
      </c>
      <c r="C160" s="36">
        <v>14004227</v>
      </c>
      <c r="D160" s="36">
        <v>15.836600000000001</v>
      </c>
    </row>
    <row r="161" spans="1:4" x14ac:dyDescent="0.25">
      <c r="A161" s="36" t="s">
        <v>121</v>
      </c>
      <c r="B161" s="36">
        <v>10</v>
      </c>
      <c r="C161" s="36">
        <v>5384478</v>
      </c>
      <c r="D161" s="36">
        <v>6.0890000000000004</v>
      </c>
    </row>
    <row r="162" spans="1:4" x14ac:dyDescent="0.25">
      <c r="A162" s="36" t="s">
        <v>122</v>
      </c>
      <c r="B162" s="36">
        <v>12</v>
      </c>
      <c r="C162" s="36">
        <v>1974499</v>
      </c>
      <c r="D162" s="36">
        <v>2.2328999999999999</v>
      </c>
    </row>
    <row r="163" spans="1:4" x14ac:dyDescent="0.25">
      <c r="A163" s="36" t="s">
        <v>123</v>
      </c>
      <c r="B163" s="36">
        <v>14</v>
      </c>
      <c r="C163" s="36">
        <v>964004</v>
      </c>
      <c r="D163" s="36">
        <v>1.0901000000000001</v>
      </c>
    </row>
    <row r="164" spans="1:4" x14ac:dyDescent="0.25">
      <c r="A164" s="36" t="s">
        <v>124</v>
      </c>
      <c r="B164" s="36">
        <v>16</v>
      </c>
      <c r="C164" s="36">
        <v>350144</v>
      </c>
      <c r="D164" s="36">
        <v>0.39600000000000002</v>
      </c>
    </row>
    <row r="165" spans="1:4" x14ac:dyDescent="0.25">
      <c r="A165" s="36" t="s">
        <v>125</v>
      </c>
      <c r="B165" s="36">
        <v>18</v>
      </c>
      <c r="C165" s="36">
        <v>228229</v>
      </c>
      <c r="D165" s="36">
        <v>0.2581</v>
      </c>
    </row>
    <row r="166" spans="1:4" x14ac:dyDescent="0.25">
      <c r="A166" s="36" t="s">
        <v>126</v>
      </c>
      <c r="B166" s="36">
        <v>20</v>
      </c>
      <c r="C166" s="36">
        <v>168059</v>
      </c>
      <c r="D166" s="36">
        <v>0.19</v>
      </c>
    </row>
    <row r="167" spans="1:4" x14ac:dyDescent="0.25">
      <c r="A167" s="36" t="s">
        <v>127</v>
      </c>
      <c r="B167" s="36">
        <v>22</v>
      </c>
      <c r="C167" s="36">
        <v>168679</v>
      </c>
      <c r="D167" s="36">
        <v>0.19070000000000001</v>
      </c>
    </row>
    <row r="168" spans="1:4" x14ac:dyDescent="0.25">
      <c r="A168" s="36" t="s">
        <v>128</v>
      </c>
      <c r="B168" s="36">
        <v>24</v>
      </c>
      <c r="C168" s="36">
        <v>78969</v>
      </c>
      <c r="D168" s="36">
        <v>8.9300000000000004E-2</v>
      </c>
    </row>
    <row r="169" spans="1:4" x14ac:dyDescent="0.25">
      <c r="A169" s="36" t="s">
        <v>129</v>
      </c>
      <c r="B169" s="36">
        <v>26</v>
      </c>
      <c r="C169" s="36">
        <v>27854</v>
      </c>
      <c r="D169" s="36">
        <v>3.15E-2</v>
      </c>
    </row>
    <row r="170" spans="1:4" x14ac:dyDescent="0.25">
      <c r="A170" s="36" t="s">
        <v>133</v>
      </c>
      <c r="B170" s="36">
        <v>28</v>
      </c>
      <c r="C170" s="36">
        <v>25831</v>
      </c>
      <c r="D170" s="36">
        <v>2.92E-2</v>
      </c>
    </row>
    <row r="171" spans="1:4" x14ac:dyDescent="0.25">
      <c r="A171" s="36" t="s">
        <v>134</v>
      </c>
      <c r="B171" s="36">
        <v>30</v>
      </c>
      <c r="C171" s="36">
        <v>36310</v>
      </c>
      <c r="D171" s="36">
        <v>4.1099999999999998E-2</v>
      </c>
    </row>
    <row r="172" spans="1:4" x14ac:dyDescent="0.25">
      <c r="A172" s="36" t="s">
        <v>135</v>
      </c>
      <c r="B172" s="36">
        <v>32</v>
      </c>
      <c r="C172" s="36">
        <v>48024</v>
      </c>
      <c r="D172" s="36">
        <v>5.4300000000000001E-2</v>
      </c>
    </row>
    <row r="173" spans="1:4" x14ac:dyDescent="0.25">
      <c r="A173" s="36" t="s">
        <v>136</v>
      </c>
      <c r="B173" s="36">
        <v>34</v>
      </c>
      <c r="C173" s="36">
        <v>5290</v>
      </c>
      <c r="D173" s="36">
        <v>6.0000000000000001E-3</v>
      </c>
    </row>
    <row r="174" spans="1:4" x14ac:dyDescent="0.25">
      <c r="A174" s="36" t="s">
        <v>137</v>
      </c>
      <c r="B174" s="36">
        <v>36</v>
      </c>
      <c r="C174" s="36">
        <v>26900</v>
      </c>
      <c r="D174" s="36">
        <v>3.04E-2</v>
      </c>
    </row>
    <row r="175" spans="1:4" x14ac:dyDescent="0.25">
      <c r="A175" s="36" t="s">
        <v>138</v>
      </c>
      <c r="B175" s="36" t="s">
        <v>139</v>
      </c>
      <c r="C175" s="36">
        <v>3.09287</v>
      </c>
      <c r="D175" s="36" t="s">
        <v>76</v>
      </c>
    </row>
    <row r="180" spans="1:1" x14ac:dyDescent="0.25">
      <c r="A180" s="36" t="s">
        <v>45</v>
      </c>
    </row>
    <row r="181" spans="1:1" x14ac:dyDescent="0.25">
      <c r="A181" s="36" t="s">
        <v>144</v>
      </c>
    </row>
    <row r="182" spans="1:1" x14ac:dyDescent="0.25">
      <c r="A182" s="36" t="s">
        <v>145</v>
      </c>
    </row>
    <row r="183" spans="1:1" x14ac:dyDescent="0.25">
      <c r="A183" s="36" t="s">
        <v>146</v>
      </c>
    </row>
    <row r="185" spans="1:1" x14ac:dyDescent="0.25">
      <c r="A185" s="36" t="s">
        <v>45</v>
      </c>
    </row>
    <row r="186" spans="1:1" x14ac:dyDescent="0.25">
      <c r="A186" s="36" t="s">
        <v>147</v>
      </c>
    </row>
    <row r="187" spans="1:1" x14ac:dyDescent="0.25">
      <c r="A187" s="36" t="s">
        <v>148</v>
      </c>
    </row>
    <row r="188" spans="1:1" x14ac:dyDescent="0.25">
      <c r="A188" s="36" t="s">
        <v>149</v>
      </c>
    </row>
    <row r="189" spans="1:1" x14ac:dyDescent="0.25">
      <c r="A189" s="36" t="s">
        <v>150</v>
      </c>
    </row>
    <row r="191" spans="1:1" x14ac:dyDescent="0.25">
      <c r="A191" s="36" t="s">
        <v>45</v>
      </c>
    </row>
    <row r="192" spans="1:1" x14ac:dyDescent="0.25">
      <c r="A192" s="36" t="s">
        <v>151</v>
      </c>
    </row>
    <row r="193" spans="1:1" x14ac:dyDescent="0.25">
      <c r="A193" s="36" t="s">
        <v>152</v>
      </c>
    </row>
    <row r="195" spans="1:1" x14ac:dyDescent="0.25">
      <c r="A195" s="36" t="s">
        <v>45</v>
      </c>
    </row>
    <row r="196" spans="1:1" x14ac:dyDescent="0.25">
      <c r="A196" s="36" t="s">
        <v>153</v>
      </c>
    </row>
    <row r="197" spans="1:1" x14ac:dyDescent="0.25">
      <c r="A197" s="36" t="s">
        <v>154</v>
      </c>
    </row>
    <row r="198" spans="1:1" x14ac:dyDescent="0.25">
      <c r="A198" s="36" t="s">
        <v>149</v>
      </c>
    </row>
    <row r="199" spans="1:1" x14ac:dyDescent="0.25">
      <c r="A199" s="36" t="s">
        <v>155</v>
      </c>
    </row>
    <row r="201" spans="1:1" x14ac:dyDescent="0.25">
      <c r="A201" s="36" t="s">
        <v>45</v>
      </c>
    </row>
    <row r="202" spans="1:1" x14ac:dyDescent="0.25">
      <c r="A202" s="36" t="s">
        <v>156</v>
      </c>
    </row>
    <row r="203" spans="1:1" x14ac:dyDescent="0.25">
      <c r="A203" s="36" t="s">
        <v>152</v>
      </c>
    </row>
    <row r="205" spans="1:1" x14ac:dyDescent="0.25">
      <c r="A205" s="36" t="s">
        <v>45</v>
      </c>
    </row>
    <row r="206" spans="1:1" x14ac:dyDescent="0.25">
      <c r="A206" s="36" t="s">
        <v>157</v>
      </c>
    </row>
    <row r="207" spans="1:1" x14ac:dyDescent="0.25">
      <c r="A207" s="36" t="s">
        <v>158</v>
      </c>
    </row>
    <row r="208" spans="1:1" x14ac:dyDescent="0.25">
      <c r="A208" s="36" t="s">
        <v>159</v>
      </c>
    </row>
    <row r="210" spans="1:4" x14ac:dyDescent="0.25">
      <c r="A210" s="36" t="s">
        <v>45</v>
      </c>
    </row>
    <row r="211" spans="1:4" x14ac:dyDescent="0.25">
      <c r="A211" s="36" t="s">
        <v>160</v>
      </c>
    </row>
    <row r="213" spans="1:4" x14ac:dyDescent="0.25">
      <c r="A213" s="36" t="s">
        <v>57</v>
      </c>
      <c r="B213" s="36" t="s">
        <v>161</v>
      </c>
    </row>
    <row r="214" spans="1:4" x14ac:dyDescent="0.25">
      <c r="A214" s="36" t="s">
        <v>59</v>
      </c>
      <c r="B214" s="36" t="s">
        <v>60</v>
      </c>
    </row>
    <row r="215" spans="1:4" x14ac:dyDescent="0.25">
      <c r="A215" s="36" t="s">
        <v>61</v>
      </c>
      <c r="B215" s="36" t="s">
        <v>62</v>
      </c>
    </row>
    <row r="216" spans="1:4" x14ac:dyDescent="0.25">
      <c r="A216" s="36" t="s">
        <v>63</v>
      </c>
      <c r="B216" s="37">
        <v>8.1018518518518516E-5</v>
      </c>
    </row>
    <row r="217" spans="1:4" x14ac:dyDescent="0.25">
      <c r="A217" s="36" t="s">
        <v>64</v>
      </c>
      <c r="B217" s="36" t="s">
        <v>65</v>
      </c>
    </row>
    <row r="218" spans="1:4" x14ac:dyDescent="0.25">
      <c r="A218" s="36" t="s">
        <v>66</v>
      </c>
      <c r="B218" s="36" t="s">
        <v>67</v>
      </c>
    </row>
    <row r="220" spans="1:4" x14ac:dyDescent="0.25">
      <c r="A220" s="36" t="s">
        <v>68</v>
      </c>
    </row>
    <row r="221" spans="1:4" x14ac:dyDescent="0.25">
      <c r="A221" s="36" t="s">
        <v>69</v>
      </c>
    </row>
    <row r="222" spans="1:4" x14ac:dyDescent="0.25">
      <c r="A222" s="36" t="s">
        <v>70</v>
      </c>
      <c r="B222" s="36" t="s">
        <v>71</v>
      </c>
      <c r="C222" s="36" t="s">
        <v>72</v>
      </c>
      <c r="D222" s="36" t="s">
        <v>73</v>
      </c>
    </row>
    <row r="224" spans="1:4" x14ac:dyDescent="0.25">
      <c r="A224" s="36" t="s">
        <v>74</v>
      </c>
      <c r="C224" s="36">
        <v>301</v>
      </c>
    </row>
    <row r="225" spans="1:5" x14ac:dyDescent="0.25">
      <c r="A225" s="36" t="s">
        <v>75</v>
      </c>
      <c r="C225" s="36">
        <v>606</v>
      </c>
      <c r="D225" s="36" t="s">
        <v>76</v>
      </c>
    </row>
    <row r="226" spans="1:5" x14ac:dyDescent="0.25">
      <c r="A226" s="36" t="s">
        <v>77</v>
      </c>
      <c r="C226" s="36">
        <v>906</v>
      </c>
      <c r="D226" s="36" t="s">
        <v>76</v>
      </c>
    </row>
    <row r="227" spans="1:5" x14ac:dyDescent="0.25">
      <c r="A227" s="36" t="s">
        <v>78</v>
      </c>
      <c r="C227" s="36">
        <v>12.000909999999999</v>
      </c>
      <c r="D227" s="36" t="s">
        <v>79</v>
      </c>
    </row>
    <row r="228" spans="1:5" x14ac:dyDescent="0.25">
      <c r="A228" s="36" t="s">
        <v>51</v>
      </c>
      <c r="C228" s="36">
        <v>26</v>
      </c>
    </row>
    <row r="229" spans="1:5" x14ac:dyDescent="0.25">
      <c r="A229" s="36" t="s">
        <v>52</v>
      </c>
      <c r="C229" s="36">
        <v>78</v>
      </c>
    </row>
    <row r="231" spans="1:5" x14ac:dyDescent="0.25">
      <c r="A231" s="36" t="s">
        <v>80</v>
      </c>
      <c r="B231" s="36" t="s">
        <v>81</v>
      </c>
      <c r="C231" s="36">
        <v>86556219.020830005</v>
      </c>
      <c r="D231" s="36" t="s">
        <v>82</v>
      </c>
    </row>
    <row r="232" spans="1:5" x14ac:dyDescent="0.25">
      <c r="A232" s="36" t="s">
        <v>83</v>
      </c>
      <c r="B232" s="36" t="s">
        <v>84</v>
      </c>
      <c r="C232" s="36">
        <v>73494661.558329999</v>
      </c>
      <c r="D232" s="36" t="s">
        <v>82</v>
      </c>
    </row>
    <row r="233" spans="1:5" x14ac:dyDescent="0.25">
      <c r="A233" s="36" t="s">
        <v>85</v>
      </c>
      <c r="B233" s="36" t="s">
        <v>86</v>
      </c>
      <c r="C233" s="38">
        <v>84.909739999999999</v>
      </c>
      <c r="D233" s="38" t="s">
        <v>87</v>
      </c>
      <c r="E233" s="38" t="s">
        <v>162</v>
      </c>
    </row>
    <row r="234" spans="1:5" x14ac:dyDescent="0.25">
      <c r="A234" s="36" t="s">
        <v>88</v>
      </c>
      <c r="B234" s="36" t="s">
        <v>89</v>
      </c>
      <c r="C234" s="36">
        <v>67281513.793400005</v>
      </c>
      <c r="D234" s="36" t="s">
        <v>90</v>
      </c>
    </row>
    <row r="235" spans="1:5" x14ac:dyDescent="0.25">
      <c r="A235" s="36" t="s">
        <v>91</v>
      </c>
      <c r="B235" s="36" t="s">
        <v>92</v>
      </c>
      <c r="C235" s="36">
        <v>50646324.136780001</v>
      </c>
      <c r="D235" s="36" t="s">
        <v>90</v>
      </c>
    </row>
    <row r="236" spans="1:5" x14ac:dyDescent="0.25">
      <c r="A236" s="36" t="s">
        <v>93</v>
      </c>
      <c r="B236" s="36" t="s">
        <v>94</v>
      </c>
      <c r="C236" s="36">
        <v>50629577.445430003</v>
      </c>
      <c r="D236" s="36" t="s">
        <v>90</v>
      </c>
    </row>
    <row r="237" spans="1:5" x14ac:dyDescent="0.25">
      <c r="A237" s="36" t="s">
        <v>95</v>
      </c>
      <c r="B237" s="36" t="s">
        <v>96</v>
      </c>
      <c r="C237" s="36">
        <v>0.68911999999999995</v>
      </c>
      <c r="D237" s="36" t="s">
        <v>97</v>
      </c>
    </row>
    <row r="238" spans="1:5" x14ac:dyDescent="0.25">
      <c r="A238" s="36" t="s">
        <v>98</v>
      </c>
      <c r="B238" s="36" t="s">
        <v>99</v>
      </c>
      <c r="C238" s="36">
        <v>0.58513000000000004</v>
      </c>
      <c r="D238" s="36" t="s">
        <v>97</v>
      </c>
    </row>
    <row r="239" spans="1:5" x14ac:dyDescent="0.25">
      <c r="A239" s="36" t="s">
        <v>100</v>
      </c>
      <c r="B239" s="36" t="s">
        <v>101</v>
      </c>
      <c r="C239" s="36">
        <v>19.125689999999999</v>
      </c>
      <c r="D239" s="36" t="s">
        <v>76</v>
      </c>
    </row>
    <row r="240" spans="1:5" x14ac:dyDescent="0.25">
      <c r="A240" s="36" t="s">
        <v>102</v>
      </c>
      <c r="B240" s="36" t="s">
        <v>103</v>
      </c>
      <c r="C240" s="36">
        <v>37.03472</v>
      </c>
      <c r="D240" s="36" t="s">
        <v>76</v>
      </c>
    </row>
    <row r="241" spans="1:4" x14ac:dyDescent="0.25">
      <c r="A241" s="36" t="s">
        <v>104</v>
      </c>
      <c r="B241" s="36" t="s">
        <v>105</v>
      </c>
      <c r="C241" s="36">
        <v>743.33727999999996</v>
      </c>
      <c r="D241" s="36" t="s">
        <v>76</v>
      </c>
    </row>
    <row r="244" spans="1:4" x14ac:dyDescent="0.25">
      <c r="A244" s="35" t="s">
        <v>163</v>
      </c>
      <c r="B244" s="35"/>
    </row>
    <row r="245" spans="1:4" x14ac:dyDescent="0.25">
      <c r="A245" s="36" t="s">
        <v>45</v>
      </c>
    </row>
    <row r="246" spans="1:4" x14ac:dyDescent="0.25">
      <c r="A246" s="36" t="s">
        <v>46</v>
      </c>
      <c r="B246" s="36" t="s">
        <v>164</v>
      </c>
    </row>
    <row r="248" spans="1:4" x14ac:dyDescent="0.25">
      <c r="A248" s="36" t="s">
        <v>45</v>
      </c>
    </row>
    <row r="249" spans="1:4" x14ac:dyDescent="0.25">
      <c r="A249" s="36" t="s">
        <v>165</v>
      </c>
    </row>
    <row r="250" spans="1:4" x14ac:dyDescent="0.25">
      <c r="A250" s="36" t="s">
        <v>49</v>
      </c>
      <c r="B250" s="36" t="s">
        <v>166</v>
      </c>
    </row>
    <row r="251" spans="1:4" x14ac:dyDescent="0.25">
      <c r="A251" s="36" t="s">
        <v>167</v>
      </c>
      <c r="B251" s="36" t="s">
        <v>168</v>
      </c>
    </row>
    <row r="252" spans="1:4" x14ac:dyDescent="0.25">
      <c r="A252" s="36" t="s">
        <v>169</v>
      </c>
      <c r="B252" s="36">
        <v>2</v>
      </c>
    </row>
    <row r="253" spans="1:4" x14ac:dyDescent="0.25">
      <c r="A253" s="36" t="s">
        <v>170</v>
      </c>
      <c r="B253" s="36">
        <v>46</v>
      </c>
    </row>
    <row r="254" spans="1:4" x14ac:dyDescent="0.25">
      <c r="A254" s="36" t="s">
        <v>171</v>
      </c>
      <c r="B254" s="36">
        <v>72</v>
      </c>
    </row>
    <row r="255" spans="1:4" x14ac:dyDescent="0.25">
      <c r="A255" s="36" t="s">
        <v>172</v>
      </c>
    </row>
    <row r="257" spans="1:2" x14ac:dyDescent="0.25">
      <c r="A257" s="36" t="s">
        <v>45</v>
      </c>
    </row>
    <row r="258" spans="1:2" x14ac:dyDescent="0.25">
      <c r="A258" s="36" t="s">
        <v>46</v>
      </c>
      <c r="B258" s="36" t="s">
        <v>164</v>
      </c>
    </row>
    <row r="260" spans="1:2" x14ac:dyDescent="0.25">
      <c r="A260" s="36" t="s">
        <v>45</v>
      </c>
    </row>
    <row r="261" spans="1:2" x14ac:dyDescent="0.25">
      <c r="A261" s="36" t="s">
        <v>173</v>
      </c>
    </row>
    <row r="262" spans="1:2" x14ac:dyDescent="0.25">
      <c r="A262" s="36" t="s">
        <v>49</v>
      </c>
      <c r="B262" s="36" t="s">
        <v>50</v>
      </c>
    </row>
    <row r="263" spans="1:2" x14ac:dyDescent="0.25">
      <c r="A263" s="36" t="s">
        <v>51</v>
      </c>
      <c r="B263" s="36">
        <v>22</v>
      </c>
    </row>
    <row r="264" spans="1:2" x14ac:dyDescent="0.25">
      <c r="A264" s="36" t="s">
        <v>52</v>
      </c>
      <c r="B264" s="36">
        <v>88</v>
      </c>
    </row>
    <row r="265" spans="1:2" x14ac:dyDescent="0.25">
      <c r="A265" s="36" t="s">
        <v>174</v>
      </c>
    </row>
    <row r="267" spans="1:2" x14ac:dyDescent="0.25">
      <c r="A267" s="36" t="s">
        <v>45</v>
      </c>
    </row>
    <row r="268" spans="1:2" x14ac:dyDescent="0.25">
      <c r="A268" s="36" t="s">
        <v>175</v>
      </c>
    </row>
    <row r="270" spans="1:2" x14ac:dyDescent="0.25">
      <c r="A270" s="36" t="s">
        <v>176</v>
      </c>
    </row>
    <row r="272" spans="1:2" x14ac:dyDescent="0.25">
      <c r="A272" s="36" t="s">
        <v>57</v>
      </c>
      <c r="B272" s="36" t="s">
        <v>177</v>
      </c>
    </row>
    <row r="273" spans="1:4" x14ac:dyDescent="0.25">
      <c r="A273" s="36" t="s">
        <v>59</v>
      </c>
      <c r="B273" s="36" t="s">
        <v>60</v>
      </c>
    </row>
    <row r="274" spans="1:4" x14ac:dyDescent="0.25">
      <c r="A274" s="36" t="s">
        <v>61</v>
      </c>
      <c r="B274" s="36" t="s">
        <v>62</v>
      </c>
    </row>
    <row r="275" spans="1:4" x14ac:dyDescent="0.25">
      <c r="A275" s="36" t="s">
        <v>63</v>
      </c>
      <c r="B275" s="37">
        <v>2.7314814814814814E-3</v>
      </c>
    </row>
    <row r="276" spans="1:4" x14ac:dyDescent="0.25">
      <c r="A276" s="36" t="s">
        <v>64</v>
      </c>
      <c r="B276" s="36" t="s">
        <v>178</v>
      </c>
    </row>
    <row r="277" spans="1:4" x14ac:dyDescent="0.25">
      <c r="A277" s="36" t="s">
        <v>66</v>
      </c>
      <c r="B277" s="36" t="s">
        <v>179</v>
      </c>
    </row>
    <row r="279" spans="1:4" x14ac:dyDescent="0.25">
      <c r="A279" s="36" t="s">
        <v>68</v>
      </c>
    </row>
    <row r="280" spans="1:4" x14ac:dyDescent="0.25">
      <c r="A280" s="36" t="s">
        <v>69</v>
      </c>
    </row>
    <row r="281" spans="1:4" x14ac:dyDescent="0.25">
      <c r="A281" s="36" t="s">
        <v>70</v>
      </c>
      <c r="B281" s="36" t="s">
        <v>71</v>
      </c>
      <c r="C281" s="36" t="s">
        <v>72</v>
      </c>
      <c r="D281" s="36" t="s">
        <v>73</v>
      </c>
    </row>
    <row r="283" spans="1:4" x14ac:dyDescent="0.25">
      <c r="A283" s="36" t="s">
        <v>74</v>
      </c>
      <c r="C283" s="36">
        <v>300</v>
      </c>
    </row>
    <row r="284" spans="1:4" x14ac:dyDescent="0.25">
      <c r="A284" s="36" t="s">
        <v>75</v>
      </c>
      <c r="C284" s="36">
        <v>606</v>
      </c>
      <c r="D284" s="36" t="s">
        <v>76</v>
      </c>
    </row>
    <row r="285" spans="1:4" x14ac:dyDescent="0.25">
      <c r="A285" s="36" t="s">
        <v>77</v>
      </c>
      <c r="C285" s="36">
        <v>905</v>
      </c>
      <c r="D285" s="36" t="s">
        <v>76</v>
      </c>
    </row>
    <row r="286" spans="1:4" x14ac:dyDescent="0.25">
      <c r="A286" s="36" t="s">
        <v>78</v>
      </c>
      <c r="C286" s="36">
        <v>12.000909999999999</v>
      </c>
      <c r="D286" s="36" t="s">
        <v>79</v>
      </c>
    </row>
    <row r="287" spans="1:4" x14ac:dyDescent="0.25">
      <c r="A287" s="36" t="s">
        <v>51</v>
      </c>
      <c r="C287" s="36">
        <v>22</v>
      </c>
    </row>
    <row r="288" spans="1:4" x14ac:dyDescent="0.25">
      <c r="A288" s="36" t="s">
        <v>52</v>
      </c>
      <c r="C288" s="36">
        <v>88</v>
      </c>
    </row>
    <row r="290" spans="1:6" x14ac:dyDescent="0.25">
      <c r="A290" s="36" t="s">
        <v>80</v>
      </c>
      <c r="B290" s="36" t="s">
        <v>81</v>
      </c>
      <c r="C290" s="36">
        <v>425859699.66667002</v>
      </c>
      <c r="D290" s="36" t="s">
        <v>82</v>
      </c>
    </row>
    <row r="291" spans="1:6" x14ac:dyDescent="0.25">
      <c r="A291" s="36" t="s">
        <v>83</v>
      </c>
      <c r="B291" s="36" t="s">
        <v>84</v>
      </c>
      <c r="C291" s="36">
        <v>380740313.92083001</v>
      </c>
      <c r="D291" s="36" t="s">
        <v>82</v>
      </c>
    </row>
    <row r="292" spans="1:6" x14ac:dyDescent="0.25">
      <c r="A292" s="36" t="s">
        <v>85</v>
      </c>
      <c r="B292" s="36" t="s">
        <v>86</v>
      </c>
      <c r="C292" s="36">
        <v>89.405109999999993</v>
      </c>
      <c r="D292" s="36" t="s">
        <v>87</v>
      </c>
      <c r="E292" s="38">
        <f>100-C292</f>
        <v>10.594890000000007</v>
      </c>
      <c r="F292" s="38" t="s">
        <v>21</v>
      </c>
    </row>
    <row r="293" spans="1:6" x14ac:dyDescent="0.25">
      <c r="A293" s="36" t="s">
        <v>88</v>
      </c>
      <c r="B293" s="36" t="s">
        <v>89</v>
      </c>
      <c r="C293" s="36">
        <v>4173379.7265099999</v>
      </c>
      <c r="D293" s="36" t="s">
        <v>90</v>
      </c>
    </row>
    <row r="294" spans="1:6" x14ac:dyDescent="0.25">
      <c r="A294" s="36" t="s">
        <v>91</v>
      </c>
      <c r="B294" s="36" t="s">
        <v>92</v>
      </c>
      <c r="C294" s="36">
        <v>42251504.891230002</v>
      </c>
      <c r="D294" s="36" t="s">
        <v>90</v>
      </c>
    </row>
    <row r="295" spans="1:6" x14ac:dyDescent="0.25">
      <c r="A295" s="36" t="s">
        <v>93</v>
      </c>
      <c r="B295" s="36" t="s">
        <v>94</v>
      </c>
      <c r="C295" s="36">
        <v>2826403.57027</v>
      </c>
      <c r="D295" s="36" t="s">
        <v>90</v>
      </c>
    </row>
    <row r="296" spans="1:6" x14ac:dyDescent="0.25">
      <c r="A296" s="36" t="s">
        <v>95</v>
      </c>
      <c r="B296" s="36" t="s">
        <v>96</v>
      </c>
      <c r="C296" s="36">
        <v>0.11097</v>
      </c>
      <c r="D296" s="36" t="s">
        <v>97</v>
      </c>
    </row>
    <row r="297" spans="1:6" x14ac:dyDescent="0.25">
      <c r="A297" s="36" t="s">
        <v>98</v>
      </c>
      <c r="B297" s="36" t="s">
        <v>99</v>
      </c>
      <c r="C297" s="36">
        <v>9.9210000000000007E-2</v>
      </c>
      <c r="D297" s="36" t="s">
        <v>97</v>
      </c>
    </row>
    <row r="298" spans="1:6" x14ac:dyDescent="0.25">
      <c r="A298" s="36" t="s">
        <v>100</v>
      </c>
      <c r="B298" s="36" t="s">
        <v>101</v>
      </c>
      <c r="C298" s="36">
        <v>6.1329200000000004</v>
      </c>
      <c r="D298" s="36" t="s">
        <v>76</v>
      </c>
    </row>
    <row r="299" spans="1:6" x14ac:dyDescent="0.25">
      <c r="A299" s="36" t="s">
        <v>102</v>
      </c>
      <c r="B299" s="36" t="s">
        <v>103</v>
      </c>
      <c r="C299" s="36">
        <v>-4.3366400000000001</v>
      </c>
      <c r="D299" s="36" t="s">
        <v>76</v>
      </c>
    </row>
    <row r="300" spans="1:6" x14ac:dyDescent="0.25">
      <c r="A300" s="36" t="s">
        <v>104</v>
      </c>
      <c r="B300" s="36" t="s">
        <v>105</v>
      </c>
      <c r="C300" s="36">
        <v>756.75719000000004</v>
      </c>
      <c r="D300" s="36" t="s">
        <v>76</v>
      </c>
    </row>
    <row r="301" spans="1:6" x14ac:dyDescent="0.25">
      <c r="A301" s="36" t="s">
        <v>106</v>
      </c>
      <c r="B301" s="36" t="s">
        <v>107</v>
      </c>
      <c r="C301" s="36">
        <v>16.709620000000001</v>
      </c>
      <c r="D301" s="36" t="s">
        <v>76</v>
      </c>
    </row>
    <row r="302" spans="1:6" x14ac:dyDescent="0.25">
      <c r="A302" s="36" t="s">
        <v>108</v>
      </c>
      <c r="B302" s="36" t="s">
        <v>109</v>
      </c>
      <c r="C302" s="36">
        <v>5.3510000000000002E-2</v>
      </c>
      <c r="D302" s="36" t="s">
        <v>97</v>
      </c>
    </row>
    <row r="304" spans="1:6" x14ac:dyDescent="0.25">
      <c r="A304" s="36" t="s">
        <v>112</v>
      </c>
      <c r="B304" s="36" t="s">
        <v>107</v>
      </c>
    </row>
    <row r="305" spans="1:4" x14ac:dyDescent="0.25">
      <c r="A305" s="36" t="s">
        <v>113</v>
      </c>
      <c r="B305" s="36" t="s">
        <v>114</v>
      </c>
      <c r="C305" s="36" t="s">
        <v>115</v>
      </c>
      <c r="D305" s="36" t="s">
        <v>116</v>
      </c>
    </row>
    <row r="306" spans="1:4" x14ac:dyDescent="0.25">
      <c r="A306" s="36" t="s">
        <v>76</v>
      </c>
      <c r="B306" s="36" t="s">
        <v>76</v>
      </c>
      <c r="C306" s="36" t="s">
        <v>82</v>
      </c>
      <c r="D306" s="36" t="s">
        <v>87</v>
      </c>
    </row>
    <row r="307" spans="1:4" x14ac:dyDescent="0.25">
      <c r="A307" s="36" t="s">
        <v>117</v>
      </c>
      <c r="B307" s="36">
        <v>2</v>
      </c>
      <c r="C307" s="36">
        <v>775405</v>
      </c>
      <c r="D307" s="36">
        <v>0.2044</v>
      </c>
    </row>
    <row r="308" spans="1:4" x14ac:dyDescent="0.25">
      <c r="A308" s="36" t="s">
        <v>118</v>
      </c>
      <c r="B308" s="36">
        <v>4</v>
      </c>
      <c r="C308" s="36">
        <v>5207073</v>
      </c>
      <c r="D308" s="36">
        <v>1.3727</v>
      </c>
    </row>
    <row r="309" spans="1:4" x14ac:dyDescent="0.25">
      <c r="A309" s="36" t="s">
        <v>119</v>
      </c>
      <c r="B309" s="36">
        <v>6</v>
      </c>
      <c r="C309" s="36">
        <v>9739684</v>
      </c>
      <c r="D309" s="36">
        <v>2.5676000000000001</v>
      </c>
    </row>
    <row r="310" spans="1:4" x14ac:dyDescent="0.25">
      <c r="A310" s="36" t="s">
        <v>120</v>
      </c>
      <c r="B310" s="36">
        <v>8</v>
      </c>
      <c r="C310" s="36">
        <v>23590540</v>
      </c>
      <c r="D310" s="36">
        <v>6.2190000000000003</v>
      </c>
    </row>
    <row r="311" spans="1:4" x14ac:dyDescent="0.25">
      <c r="A311" s="36" t="s">
        <v>121</v>
      </c>
      <c r="B311" s="36">
        <v>10</v>
      </c>
      <c r="C311" s="36">
        <v>34727130</v>
      </c>
      <c r="D311" s="36">
        <v>9.1548999999999996</v>
      </c>
    </row>
    <row r="312" spans="1:4" x14ac:dyDescent="0.25">
      <c r="A312" s="36" t="s">
        <v>122</v>
      </c>
      <c r="B312" s="36">
        <v>12</v>
      </c>
      <c r="C312" s="36">
        <v>37538155</v>
      </c>
      <c r="D312" s="36">
        <v>9.8958999999999993</v>
      </c>
    </row>
    <row r="313" spans="1:4" x14ac:dyDescent="0.25">
      <c r="A313" s="36" t="s">
        <v>123</v>
      </c>
      <c r="B313" s="36">
        <v>14</v>
      </c>
      <c r="C313" s="36">
        <v>48724032</v>
      </c>
      <c r="D313" s="36">
        <v>12.844799999999999</v>
      </c>
    </row>
    <row r="314" spans="1:4" x14ac:dyDescent="0.25">
      <c r="A314" s="36" t="s">
        <v>124</v>
      </c>
      <c r="B314" s="36">
        <v>16</v>
      </c>
      <c r="C314" s="36">
        <v>47348275</v>
      </c>
      <c r="D314" s="36">
        <v>12.482100000000001</v>
      </c>
    </row>
    <row r="315" spans="1:4" x14ac:dyDescent="0.25">
      <c r="A315" s="36" t="s">
        <v>125</v>
      </c>
      <c r="B315" s="36">
        <v>18</v>
      </c>
      <c r="C315" s="36">
        <v>41839784</v>
      </c>
      <c r="D315" s="36">
        <v>11.0299</v>
      </c>
    </row>
    <row r="316" spans="1:4" x14ac:dyDescent="0.25">
      <c r="A316" s="36" t="s">
        <v>126</v>
      </c>
      <c r="B316" s="36">
        <v>20</v>
      </c>
      <c r="C316" s="36">
        <v>37552672</v>
      </c>
      <c r="D316" s="36">
        <v>9.8998000000000008</v>
      </c>
    </row>
    <row r="317" spans="1:4" x14ac:dyDescent="0.25">
      <c r="A317" s="36" t="s">
        <v>127</v>
      </c>
      <c r="B317" s="36">
        <v>22</v>
      </c>
      <c r="C317" s="36">
        <v>30243600</v>
      </c>
      <c r="D317" s="36">
        <v>7.9729000000000001</v>
      </c>
    </row>
    <row r="318" spans="1:4" x14ac:dyDescent="0.25">
      <c r="A318" s="36" t="s">
        <v>128</v>
      </c>
      <c r="B318" s="36">
        <v>24</v>
      </c>
      <c r="C318" s="36">
        <v>21952748</v>
      </c>
      <c r="D318" s="36">
        <v>5.7873000000000001</v>
      </c>
    </row>
    <row r="319" spans="1:4" x14ac:dyDescent="0.25">
      <c r="A319" s="36" t="s">
        <v>129</v>
      </c>
      <c r="B319" s="36">
        <v>26</v>
      </c>
      <c r="C319" s="36">
        <v>16686503</v>
      </c>
      <c r="D319" s="36">
        <v>4.3989000000000003</v>
      </c>
    </row>
    <row r="320" spans="1:4" x14ac:dyDescent="0.25">
      <c r="A320" s="36" t="s">
        <v>133</v>
      </c>
      <c r="B320" s="36">
        <v>28</v>
      </c>
      <c r="C320" s="36">
        <v>11193960</v>
      </c>
      <c r="D320" s="36">
        <v>2.9510000000000001</v>
      </c>
    </row>
    <row r="321" spans="1:4" x14ac:dyDescent="0.25">
      <c r="A321" s="36" t="s">
        <v>134</v>
      </c>
      <c r="B321" s="36">
        <v>30</v>
      </c>
      <c r="C321" s="36">
        <v>6195407</v>
      </c>
      <c r="D321" s="36">
        <v>1.6333</v>
      </c>
    </row>
    <row r="322" spans="1:4" x14ac:dyDescent="0.25">
      <c r="A322" s="36" t="s">
        <v>135</v>
      </c>
      <c r="B322" s="36">
        <v>32</v>
      </c>
      <c r="C322" s="36">
        <v>3140944</v>
      </c>
      <c r="D322" s="36">
        <v>0.82799999999999996</v>
      </c>
    </row>
    <row r="323" spans="1:4" x14ac:dyDescent="0.25">
      <c r="A323" s="36" t="s">
        <v>136</v>
      </c>
      <c r="B323" s="36">
        <v>34</v>
      </c>
      <c r="C323" s="36">
        <v>1558879</v>
      </c>
      <c r="D323" s="36">
        <v>0.41099999999999998</v>
      </c>
    </row>
    <row r="324" spans="1:4" x14ac:dyDescent="0.25">
      <c r="A324" s="36" t="s">
        <v>137</v>
      </c>
      <c r="B324" s="36">
        <v>36</v>
      </c>
      <c r="C324" s="36">
        <v>890547</v>
      </c>
      <c r="D324" s="36">
        <v>0.23480000000000001</v>
      </c>
    </row>
    <row r="325" spans="1:4" x14ac:dyDescent="0.25">
      <c r="A325" s="36" t="s">
        <v>180</v>
      </c>
      <c r="B325" s="36">
        <v>38</v>
      </c>
      <c r="C325" s="36">
        <v>337156</v>
      </c>
      <c r="D325" s="36">
        <v>8.8900000000000007E-2</v>
      </c>
    </row>
    <row r="326" spans="1:4" x14ac:dyDescent="0.25">
      <c r="A326" s="36" t="s">
        <v>181</v>
      </c>
      <c r="B326" s="36">
        <v>40</v>
      </c>
      <c r="C326" s="36">
        <v>48689</v>
      </c>
      <c r="D326" s="36">
        <v>1.2800000000000001E-2</v>
      </c>
    </row>
    <row r="327" spans="1:4" x14ac:dyDescent="0.25">
      <c r="A327" s="36" t="s">
        <v>182</v>
      </c>
      <c r="B327" s="36">
        <v>42</v>
      </c>
      <c r="C327" s="36">
        <v>38084</v>
      </c>
      <c r="D327" s="36">
        <v>0.01</v>
      </c>
    </row>
    <row r="328" spans="1:4" x14ac:dyDescent="0.25">
      <c r="A328" s="36" t="s">
        <v>130</v>
      </c>
      <c r="B328" s="36" t="s">
        <v>131</v>
      </c>
      <c r="C328" s="36">
        <v>6.2630299999999997</v>
      </c>
      <c r="D328" s="36" t="s">
        <v>76</v>
      </c>
    </row>
    <row r="333" spans="1:4" x14ac:dyDescent="0.25">
      <c r="A333" s="36" t="s">
        <v>45</v>
      </c>
    </row>
    <row r="334" spans="1:4" x14ac:dyDescent="0.25">
      <c r="A334" s="36" t="s">
        <v>183</v>
      </c>
    </row>
    <row r="336" spans="1:4" x14ac:dyDescent="0.25">
      <c r="A336" s="36" t="s">
        <v>184</v>
      </c>
    </row>
    <row r="337" spans="1:1" x14ac:dyDescent="0.25">
      <c r="A337" s="36" t="s">
        <v>185</v>
      </c>
    </row>
    <row r="338" spans="1:1" x14ac:dyDescent="0.25">
      <c r="A338" s="36" t="s">
        <v>186</v>
      </c>
    </row>
    <row r="340" spans="1:1" x14ac:dyDescent="0.25">
      <c r="A340" s="36" t="s">
        <v>45</v>
      </c>
    </row>
    <row r="341" spans="1:1" x14ac:dyDescent="0.25">
      <c r="A341" s="36" t="s">
        <v>187</v>
      </c>
    </row>
    <row r="342" spans="1:1" x14ac:dyDescent="0.25">
      <c r="A342" s="36" t="s">
        <v>188</v>
      </c>
    </row>
    <row r="343" spans="1:1" x14ac:dyDescent="0.25">
      <c r="A343" s="36" t="s">
        <v>189</v>
      </c>
    </row>
    <row r="345" spans="1:1" x14ac:dyDescent="0.25">
      <c r="A345" s="36" t="s">
        <v>45</v>
      </c>
    </row>
    <row r="346" spans="1:1" x14ac:dyDescent="0.25">
      <c r="A346" s="36" t="s">
        <v>190</v>
      </c>
    </row>
    <row r="348" spans="1:1" x14ac:dyDescent="0.25">
      <c r="A348" s="36" t="s">
        <v>191</v>
      </c>
    </row>
    <row r="349" spans="1:1" x14ac:dyDescent="0.25">
      <c r="A349" s="36" t="s">
        <v>185</v>
      </c>
    </row>
    <row r="350" spans="1:1" x14ac:dyDescent="0.25">
      <c r="A350" s="36" t="s">
        <v>192</v>
      </c>
    </row>
    <row r="351" spans="1:1" x14ac:dyDescent="0.25">
      <c r="A351" s="36" t="s">
        <v>186</v>
      </c>
    </row>
    <row r="353" spans="1:1" x14ac:dyDescent="0.25">
      <c r="A353" s="36" t="s">
        <v>45</v>
      </c>
    </row>
    <row r="355" spans="1:1" x14ac:dyDescent="0.25">
      <c r="A355" s="36" t="s">
        <v>45</v>
      </c>
    </row>
    <row r="356" spans="1:1" x14ac:dyDescent="0.25">
      <c r="A356" s="36" t="s">
        <v>193</v>
      </c>
    </row>
    <row r="357" spans="1:1" x14ac:dyDescent="0.25">
      <c r="A357" s="36" t="s">
        <v>188</v>
      </c>
    </row>
    <row r="358" spans="1:1" x14ac:dyDescent="0.25">
      <c r="A358" s="36" t="s">
        <v>194</v>
      </c>
    </row>
    <row r="360" spans="1:1" x14ac:dyDescent="0.25">
      <c r="A360" s="36" t="s">
        <v>45</v>
      </c>
    </row>
    <row r="361" spans="1:1" x14ac:dyDescent="0.25">
      <c r="A361" s="36" t="s">
        <v>195</v>
      </c>
    </row>
    <row r="362" spans="1:1" x14ac:dyDescent="0.25">
      <c r="A362" s="36" t="s">
        <v>145</v>
      </c>
    </row>
    <row r="363" spans="1:1" x14ac:dyDescent="0.25">
      <c r="A363" s="36" t="s">
        <v>196</v>
      </c>
    </row>
    <row r="365" spans="1:1" x14ac:dyDescent="0.25">
      <c r="A365" s="36" t="s">
        <v>45</v>
      </c>
    </row>
    <row r="366" spans="1:1" x14ac:dyDescent="0.25">
      <c r="A366" s="36" t="s">
        <v>197</v>
      </c>
    </row>
    <row r="367" spans="1:1" x14ac:dyDescent="0.25">
      <c r="A367" s="36" t="s">
        <v>154</v>
      </c>
    </row>
    <row r="368" spans="1:1" x14ac:dyDescent="0.25">
      <c r="A368" s="36" t="s">
        <v>149</v>
      </c>
    </row>
    <row r="369" spans="1:1" x14ac:dyDescent="0.25">
      <c r="A369" s="36" t="s">
        <v>198</v>
      </c>
    </row>
    <row r="371" spans="1:1" x14ac:dyDescent="0.25">
      <c r="A371" s="36" t="s">
        <v>45</v>
      </c>
    </row>
    <row r="372" spans="1:1" x14ac:dyDescent="0.25">
      <c r="A372" s="36" t="s">
        <v>199</v>
      </c>
    </row>
    <row r="373" spans="1:1" x14ac:dyDescent="0.25">
      <c r="A373" s="36" t="s">
        <v>152</v>
      </c>
    </row>
    <row r="375" spans="1:1" x14ac:dyDescent="0.25">
      <c r="A375" s="36" t="s">
        <v>45</v>
      </c>
    </row>
    <row r="377" spans="1:1" x14ac:dyDescent="0.25">
      <c r="A377" s="36" t="s">
        <v>45</v>
      </c>
    </row>
    <row r="378" spans="1:1" x14ac:dyDescent="0.25">
      <c r="A378" s="36" t="s">
        <v>200</v>
      </c>
    </row>
    <row r="379" spans="1:1" x14ac:dyDescent="0.25">
      <c r="A379" s="36" t="s">
        <v>158</v>
      </c>
    </row>
    <row r="380" spans="1:1" x14ac:dyDescent="0.25">
      <c r="A380" s="36" t="s">
        <v>201</v>
      </c>
    </row>
    <row r="382" spans="1:1" x14ac:dyDescent="0.25">
      <c r="A382" s="36" t="s">
        <v>45</v>
      </c>
    </row>
    <row r="383" spans="1:1" x14ac:dyDescent="0.25">
      <c r="A383" s="36" t="s">
        <v>202</v>
      </c>
    </row>
    <row r="385" spans="1:4" x14ac:dyDescent="0.25">
      <c r="A385" s="36" t="s">
        <v>57</v>
      </c>
      <c r="B385" s="36" t="s">
        <v>203</v>
      </c>
    </row>
    <row r="386" spans="1:4" x14ac:dyDescent="0.25">
      <c r="A386" s="36" t="s">
        <v>59</v>
      </c>
      <c r="B386" s="36" t="s">
        <v>60</v>
      </c>
    </row>
    <row r="387" spans="1:4" x14ac:dyDescent="0.25">
      <c r="A387" s="36" t="s">
        <v>61</v>
      </c>
      <c r="B387" s="36" t="s">
        <v>62</v>
      </c>
    </row>
    <row r="388" spans="1:4" x14ac:dyDescent="0.25">
      <c r="A388" s="36" t="s">
        <v>63</v>
      </c>
      <c r="B388" s="37">
        <v>6.9444444444444444E-5</v>
      </c>
    </row>
    <row r="389" spans="1:4" x14ac:dyDescent="0.25">
      <c r="A389" s="36" t="s">
        <v>64</v>
      </c>
      <c r="B389" s="36" t="s">
        <v>178</v>
      </c>
    </row>
    <row r="390" spans="1:4" x14ac:dyDescent="0.25">
      <c r="A390" s="36" t="s">
        <v>66</v>
      </c>
      <c r="B390" s="36" t="s">
        <v>179</v>
      </c>
    </row>
    <row r="392" spans="1:4" x14ac:dyDescent="0.25">
      <c r="A392" s="36" t="s">
        <v>68</v>
      </c>
    </row>
    <row r="393" spans="1:4" x14ac:dyDescent="0.25">
      <c r="A393" s="36" t="s">
        <v>69</v>
      </c>
    </row>
    <row r="394" spans="1:4" x14ac:dyDescent="0.25">
      <c r="A394" s="36" t="s">
        <v>70</v>
      </c>
      <c r="B394" s="36" t="s">
        <v>71</v>
      </c>
      <c r="C394" s="36" t="s">
        <v>72</v>
      </c>
      <c r="D394" s="36" t="s">
        <v>73</v>
      </c>
    </row>
    <row r="396" spans="1:4" x14ac:dyDescent="0.25">
      <c r="A396" s="36" t="s">
        <v>74</v>
      </c>
      <c r="C396" s="36">
        <v>300</v>
      </c>
    </row>
    <row r="397" spans="1:4" x14ac:dyDescent="0.25">
      <c r="A397" s="36" t="s">
        <v>75</v>
      </c>
      <c r="C397" s="36">
        <v>606</v>
      </c>
      <c r="D397" s="36" t="s">
        <v>76</v>
      </c>
    </row>
    <row r="398" spans="1:4" x14ac:dyDescent="0.25">
      <c r="A398" s="36" t="s">
        <v>77</v>
      </c>
      <c r="C398" s="36">
        <v>905</v>
      </c>
      <c r="D398" s="36" t="s">
        <v>76</v>
      </c>
    </row>
    <row r="399" spans="1:4" x14ac:dyDescent="0.25">
      <c r="A399" s="36" t="s">
        <v>78</v>
      </c>
      <c r="C399" s="36">
        <v>12.000909999999999</v>
      </c>
      <c r="D399" s="36" t="s">
        <v>79</v>
      </c>
    </row>
    <row r="400" spans="1:4" x14ac:dyDescent="0.25">
      <c r="A400" s="36" t="s">
        <v>51</v>
      </c>
      <c r="C400" s="36">
        <v>22</v>
      </c>
    </row>
    <row r="401" spans="1:4" x14ac:dyDescent="0.25">
      <c r="A401" s="36" t="s">
        <v>52</v>
      </c>
      <c r="C401" s="36">
        <v>88</v>
      </c>
    </row>
    <row r="403" spans="1:4" x14ac:dyDescent="0.25">
      <c r="A403" s="36" t="s">
        <v>80</v>
      </c>
      <c r="B403" s="36" t="s">
        <v>81</v>
      </c>
      <c r="C403" s="36">
        <v>45047024.766670004</v>
      </c>
      <c r="D403" s="36" t="s">
        <v>82</v>
      </c>
    </row>
    <row r="404" spans="1:4" x14ac:dyDescent="0.25">
      <c r="A404" s="36" t="s">
        <v>83</v>
      </c>
      <c r="B404" s="36" t="s">
        <v>84</v>
      </c>
      <c r="C404" s="36">
        <v>31500034.79583</v>
      </c>
      <c r="D404" s="36" t="s">
        <v>82</v>
      </c>
    </row>
    <row r="405" spans="1:4" x14ac:dyDescent="0.25">
      <c r="A405" s="36" t="s">
        <v>85</v>
      </c>
      <c r="B405" s="36" t="s">
        <v>86</v>
      </c>
      <c r="C405" s="36">
        <v>69.927000000000007</v>
      </c>
      <c r="D405" s="36" t="s">
        <v>87</v>
      </c>
    </row>
    <row r="406" spans="1:4" x14ac:dyDescent="0.25">
      <c r="A406" s="36" t="s">
        <v>88</v>
      </c>
      <c r="B406" s="36" t="s">
        <v>89</v>
      </c>
      <c r="C406" s="36">
        <v>40328585.033830002</v>
      </c>
      <c r="D406" s="36" t="s">
        <v>90</v>
      </c>
    </row>
    <row r="407" spans="1:4" x14ac:dyDescent="0.25">
      <c r="A407" s="36" t="s">
        <v>91</v>
      </c>
      <c r="B407" s="36" t="s">
        <v>92</v>
      </c>
      <c r="C407" s="36">
        <v>23404982.44196</v>
      </c>
      <c r="D407" s="36" t="s">
        <v>90</v>
      </c>
    </row>
    <row r="408" spans="1:4" x14ac:dyDescent="0.25">
      <c r="A408" s="36" t="s">
        <v>93</v>
      </c>
      <c r="B408" s="36" t="s">
        <v>94</v>
      </c>
      <c r="C408" s="36">
        <v>23396081.69162</v>
      </c>
      <c r="D408" s="36" t="s">
        <v>90</v>
      </c>
    </row>
    <row r="409" spans="1:4" x14ac:dyDescent="0.25">
      <c r="A409" s="36" t="s">
        <v>95</v>
      </c>
      <c r="B409" s="36" t="s">
        <v>96</v>
      </c>
      <c r="C409" s="36">
        <v>0.74300999999999995</v>
      </c>
      <c r="D409" s="36" t="s">
        <v>97</v>
      </c>
    </row>
    <row r="410" spans="1:4" x14ac:dyDescent="0.25">
      <c r="A410" s="36" t="s">
        <v>98</v>
      </c>
      <c r="B410" s="36" t="s">
        <v>99</v>
      </c>
      <c r="C410" s="36">
        <v>0.51956999999999998</v>
      </c>
      <c r="D410" s="36" t="s">
        <v>97</v>
      </c>
    </row>
    <row r="411" spans="1:4" x14ac:dyDescent="0.25">
      <c r="A411" s="36" t="s">
        <v>100</v>
      </c>
      <c r="B411" s="36" t="s">
        <v>101</v>
      </c>
      <c r="C411" s="36">
        <v>50.390990000000002</v>
      </c>
      <c r="D411" s="36" t="s">
        <v>76</v>
      </c>
    </row>
    <row r="412" spans="1:4" x14ac:dyDescent="0.25">
      <c r="A412" s="36" t="s">
        <v>102</v>
      </c>
      <c r="B412" s="36" t="s">
        <v>103</v>
      </c>
      <c r="C412" s="36">
        <v>141.53702999999999</v>
      </c>
      <c r="D412" s="36" t="s">
        <v>76</v>
      </c>
    </row>
    <row r="413" spans="1:4" x14ac:dyDescent="0.25">
      <c r="A413" s="36" t="s">
        <v>104</v>
      </c>
      <c r="B413" s="36" t="s">
        <v>105</v>
      </c>
      <c r="C413" s="36">
        <v>739.19572000000005</v>
      </c>
      <c r="D413" s="36" t="s">
        <v>76</v>
      </c>
    </row>
    <row r="418" spans="1:4" x14ac:dyDescent="0.25">
      <c r="A418" s="36" t="s">
        <v>45</v>
      </c>
    </row>
    <row r="419" spans="1:4" x14ac:dyDescent="0.25">
      <c r="A419" s="36" t="s">
        <v>204</v>
      </c>
    </row>
    <row r="421" spans="1:4" x14ac:dyDescent="0.25">
      <c r="A421" s="36" t="s">
        <v>57</v>
      </c>
      <c r="B421" s="36" t="s">
        <v>205</v>
      </c>
    </row>
    <row r="422" spans="1:4" x14ac:dyDescent="0.25">
      <c r="A422" s="36" t="s">
        <v>59</v>
      </c>
      <c r="B422" s="36" t="s">
        <v>60</v>
      </c>
    </row>
    <row r="423" spans="1:4" x14ac:dyDescent="0.25">
      <c r="A423" s="36" t="s">
        <v>61</v>
      </c>
      <c r="B423" s="36" t="s">
        <v>62</v>
      </c>
    </row>
    <row r="424" spans="1:4" x14ac:dyDescent="0.25">
      <c r="A424" s="36" t="s">
        <v>63</v>
      </c>
      <c r="B424" s="37">
        <v>8.1018518518518516E-5</v>
      </c>
    </row>
    <row r="425" spans="1:4" x14ac:dyDescent="0.25">
      <c r="A425" s="36" t="s">
        <v>64</v>
      </c>
      <c r="B425" s="36" t="s">
        <v>178</v>
      </c>
    </row>
    <row r="426" spans="1:4" x14ac:dyDescent="0.25">
      <c r="A426" s="36" t="s">
        <v>66</v>
      </c>
      <c r="B426" s="36" t="s">
        <v>179</v>
      </c>
    </row>
    <row r="428" spans="1:4" x14ac:dyDescent="0.25">
      <c r="A428" s="36" t="s">
        <v>68</v>
      </c>
    </row>
    <row r="429" spans="1:4" x14ac:dyDescent="0.25">
      <c r="A429" s="36" t="s">
        <v>69</v>
      </c>
    </row>
    <row r="430" spans="1:4" x14ac:dyDescent="0.25">
      <c r="A430" s="36" t="s">
        <v>70</v>
      </c>
      <c r="B430" s="36" t="s">
        <v>71</v>
      </c>
      <c r="C430" s="36" t="s">
        <v>72</v>
      </c>
      <c r="D430" s="36" t="s">
        <v>73</v>
      </c>
    </row>
    <row r="432" spans="1:4" x14ac:dyDescent="0.25">
      <c r="A432" s="36" t="s">
        <v>74</v>
      </c>
      <c r="C432" s="36">
        <v>300</v>
      </c>
    </row>
    <row r="433" spans="1:4" x14ac:dyDescent="0.25">
      <c r="A433" s="36" t="s">
        <v>75</v>
      </c>
      <c r="C433" s="36">
        <v>606</v>
      </c>
      <c r="D433" s="36" t="s">
        <v>76</v>
      </c>
    </row>
    <row r="434" spans="1:4" x14ac:dyDescent="0.25">
      <c r="A434" s="36" t="s">
        <v>77</v>
      </c>
      <c r="C434" s="36">
        <v>905</v>
      </c>
      <c r="D434" s="36" t="s">
        <v>76</v>
      </c>
    </row>
    <row r="435" spans="1:4" x14ac:dyDescent="0.25">
      <c r="A435" s="36" t="s">
        <v>78</v>
      </c>
      <c r="C435" s="36">
        <v>12.000909999999999</v>
      </c>
      <c r="D435" s="36" t="s">
        <v>79</v>
      </c>
    </row>
    <row r="436" spans="1:4" x14ac:dyDescent="0.25">
      <c r="A436" s="36" t="s">
        <v>51</v>
      </c>
      <c r="C436" s="36">
        <v>22</v>
      </c>
    </row>
    <row r="437" spans="1:4" x14ac:dyDescent="0.25">
      <c r="A437" s="36" t="s">
        <v>52</v>
      </c>
      <c r="C437" s="36">
        <v>88</v>
      </c>
    </row>
    <row r="439" spans="1:4" x14ac:dyDescent="0.25">
      <c r="A439" s="36" t="s">
        <v>80</v>
      </c>
      <c r="B439" s="36" t="s">
        <v>81</v>
      </c>
      <c r="C439" s="36">
        <v>45047024.766670004</v>
      </c>
      <c r="D439" s="36" t="s">
        <v>82</v>
      </c>
    </row>
    <row r="440" spans="1:4" x14ac:dyDescent="0.25">
      <c r="A440" s="36" t="s">
        <v>83</v>
      </c>
      <c r="B440" s="36" t="s">
        <v>84</v>
      </c>
      <c r="C440" s="36">
        <v>31500034.79583</v>
      </c>
      <c r="D440" s="36" t="s">
        <v>82</v>
      </c>
    </row>
    <row r="441" spans="1:4" x14ac:dyDescent="0.25">
      <c r="A441" s="36" t="s">
        <v>85</v>
      </c>
      <c r="B441" s="36" t="s">
        <v>86</v>
      </c>
      <c r="C441" s="36">
        <v>69.927000000000007</v>
      </c>
      <c r="D441" s="36" t="s">
        <v>87</v>
      </c>
    </row>
    <row r="442" spans="1:4" x14ac:dyDescent="0.25">
      <c r="A442" s="36" t="s">
        <v>88</v>
      </c>
      <c r="B442" s="36" t="s">
        <v>89</v>
      </c>
      <c r="C442" s="36">
        <v>40328585.033830002</v>
      </c>
      <c r="D442" s="36" t="s">
        <v>90</v>
      </c>
    </row>
    <row r="443" spans="1:4" x14ac:dyDescent="0.25">
      <c r="A443" s="36" t="s">
        <v>91</v>
      </c>
      <c r="B443" s="36" t="s">
        <v>92</v>
      </c>
      <c r="C443" s="36">
        <v>23404982.44196</v>
      </c>
      <c r="D443" s="36" t="s">
        <v>90</v>
      </c>
    </row>
    <row r="444" spans="1:4" x14ac:dyDescent="0.25">
      <c r="A444" s="36" t="s">
        <v>93</v>
      </c>
      <c r="B444" s="36" t="s">
        <v>94</v>
      </c>
      <c r="C444" s="36">
        <v>23396081.69162</v>
      </c>
      <c r="D444" s="36" t="s">
        <v>90</v>
      </c>
    </row>
    <row r="445" spans="1:4" x14ac:dyDescent="0.25">
      <c r="A445" s="36" t="s">
        <v>95</v>
      </c>
      <c r="B445" s="36" t="s">
        <v>96</v>
      </c>
      <c r="C445" s="36">
        <v>0.74300999999999995</v>
      </c>
      <c r="D445" s="36" t="s">
        <v>97</v>
      </c>
    </row>
    <row r="446" spans="1:4" x14ac:dyDescent="0.25">
      <c r="A446" s="36" t="s">
        <v>98</v>
      </c>
      <c r="B446" s="36" t="s">
        <v>99</v>
      </c>
      <c r="C446" s="36">
        <v>0.51956999999999998</v>
      </c>
      <c r="D446" s="36" t="s">
        <v>97</v>
      </c>
    </row>
    <row r="447" spans="1:4" x14ac:dyDescent="0.25">
      <c r="A447" s="36" t="s">
        <v>100</v>
      </c>
      <c r="B447" s="36" t="s">
        <v>101</v>
      </c>
      <c r="C447" s="36">
        <v>50.390990000000002</v>
      </c>
      <c r="D447" s="36" t="s">
        <v>76</v>
      </c>
    </row>
    <row r="448" spans="1:4" x14ac:dyDescent="0.25">
      <c r="A448" s="36" t="s">
        <v>102</v>
      </c>
      <c r="B448" s="36" t="s">
        <v>103</v>
      </c>
      <c r="C448" s="36">
        <v>141.53702999999999</v>
      </c>
      <c r="D448" s="36" t="s">
        <v>76</v>
      </c>
    </row>
    <row r="449" spans="1:4" x14ac:dyDescent="0.25">
      <c r="A449" s="36" t="s">
        <v>104</v>
      </c>
      <c r="B449" s="36" t="s">
        <v>105</v>
      </c>
      <c r="C449" s="36">
        <v>739.19572000000005</v>
      </c>
      <c r="D449" s="36" t="s">
        <v>76</v>
      </c>
    </row>
    <row r="454" spans="1:4" x14ac:dyDescent="0.25">
      <c r="A454" s="36" t="s">
        <v>45</v>
      </c>
    </row>
    <row r="455" spans="1:4" x14ac:dyDescent="0.25">
      <c r="A455" s="36" t="s">
        <v>206</v>
      </c>
    </row>
    <row r="457" spans="1:4" x14ac:dyDescent="0.25">
      <c r="A457" s="36" t="s">
        <v>57</v>
      </c>
      <c r="B457" s="36" t="s">
        <v>207</v>
      </c>
    </row>
    <row r="458" spans="1:4" x14ac:dyDescent="0.25">
      <c r="A458" s="36" t="s">
        <v>59</v>
      </c>
      <c r="B458" s="36" t="s">
        <v>60</v>
      </c>
    </row>
    <row r="459" spans="1:4" x14ac:dyDescent="0.25">
      <c r="A459" s="36" t="s">
        <v>61</v>
      </c>
      <c r="B459" s="36" t="s">
        <v>62</v>
      </c>
    </row>
    <row r="460" spans="1:4" x14ac:dyDescent="0.25">
      <c r="A460" s="36" t="s">
        <v>63</v>
      </c>
      <c r="B460" s="37">
        <v>8.1018518518518516E-5</v>
      </c>
    </row>
    <row r="461" spans="1:4" x14ac:dyDescent="0.25">
      <c r="A461" s="36" t="s">
        <v>64</v>
      </c>
      <c r="B461" s="36" t="s">
        <v>178</v>
      </c>
    </row>
    <row r="462" spans="1:4" x14ac:dyDescent="0.25">
      <c r="A462" s="36" t="s">
        <v>66</v>
      </c>
      <c r="B462" s="36" t="s">
        <v>179</v>
      </c>
    </row>
    <row r="464" spans="1:4" x14ac:dyDescent="0.25">
      <c r="A464" s="36" t="s">
        <v>68</v>
      </c>
    </row>
    <row r="465" spans="1:5" x14ac:dyDescent="0.25">
      <c r="A465" s="36" t="s">
        <v>69</v>
      </c>
    </row>
    <row r="466" spans="1:5" x14ac:dyDescent="0.25">
      <c r="A466" s="36" t="s">
        <v>70</v>
      </c>
      <c r="B466" s="36" t="s">
        <v>71</v>
      </c>
      <c r="C466" s="36" t="s">
        <v>72</v>
      </c>
      <c r="D466" s="36" t="s">
        <v>73</v>
      </c>
    </row>
    <row r="468" spans="1:5" x14ac:dyDescent="0.25">
      <c r="A468" s="36" t="s">
        <v>74</v>
      </c>
      <c r="C468" s="36">
        <v>300</v>
      </c>
    </row>
    <row r="469" spans="1:5" x14ac:dyDescent="0.25">
      <c r="A469" s="36" t="s">
        <v>75</v>
      </c>
      <c r="C469" s="36">
        <v>606</v>
      </c>
      <c r="D469" s="36" t="s">
        <v>76</v>
      </c>
    </row>
    <row r="470" spans="1:5" x14ac:dyDescent="0.25">
      <c r="A470" s="36" t="s">
        <v>77</v>
      </c>
      <c r="C470" s="36">
        <v>905</v>
      </c>
      <c r="D470" s="36" t="s">
        <v>76</v>
      </c>
    </row>
    <row r="471" spans="1:5" x14ac:dyDescent="0.25">
      <c r="A471" s="36" t="s">
        <v>78</v>
      </c>
      <c r="C471" s="36">
        <v>12.000909999999999</v>
      </c>
      <c r="D471" s="36" t="s">
        <v>79</v>
      </c>
    </row>
    <row r="472" spans="1:5" x14ac:dyDescent="0.25">
      <c r="A472" s="36" t="s">
        <v>51</v>
      </c>
      <c r="C472" s="36">
        <v>22</v>
      </c>
    </row>
    <row r="473" spans="1:5" x14ac:dyDescent="0.25">
      <c r="A473" s="36" t="s">
        <v>52</v>
      </c>
      <c r="C473" s="36">
        <v>88</v>
      </c>
    </row>
    <row r="475" spans="1:5" x14ac:dyDescent="0.25">
      <c r="A475" s="36" t="s">
        <v>80</v>
      </c>
      <c r="B475" s="36" t="s">
        <v>81</v>
      </c>
      <c r="C475" s="36">
        <v>45047024.766670004</v>
      </c>
      <c r="D475" s="36" t="s">
        <v>82</v>
      </c>
    </row>
    <row r="476" spans="1:5" x14ac:dyDescent="0.25">
      <c r="A476" s="36" t="s">
        <v>83</v>
      </c>
      <c r="B476" s="36" t="s">
        <v>84</v>
      </c>
      <c r="C476" s="36">
        <v>31500034.79583</v>
      </c>
      <c r="D476" s="36" t="s">
        <v>82</v>
      </c>
    </row>
    <row r="477" spans="1:5" x14ac:dyDescent="0.25">
      <c r="A477" s="36" t="s">
        <v>85</v>
      </c>
      <c r="B477" s="36" t="s">
        <v>86</v>
      </c>
      <c r="C477" s="38">
        <v>69.927000000000007</v>
      </c>
      <c r="D477" s="38" t="s">
        <v>87</v>
      </c>
      <c r="E477" s="38" t="s">
        <v>162</v>
      </c>
    </row>
    <row r="478" spans="1:5" x14ac:dyDescent="0.25">
      <c r="A478" s="36" t="s">
        <v>88</v>
      </c>
      <c r="B478" s="36" t="s">
        <v>89</v>
      </c>
      <c r="C478" s="36">
        <v>40328585.033830002</v>
      </c>
      <c r="D478" s="36" t="s">
        <v>90</v>
      </c>
    </row>
    <row r="479" spans="1:5" x14ac:dyDescent="0.25">
      <c r="A479" s="36" t="s">
        <v>91</v>
      </c>
      <c r="B479" s="36" t="s">
        <v>92</v>
      </c>
      <c r="C479" s="36">
        <v>23404982.44196</v>
      </c>
      <c r="D479" s="36" t="s">
        <v>90</v>
      </c>
    </row>
    <row r="480" spans="1:5" x14ac:dyDescent="0.25">
      <c r="A480" s="36" t="s">
        <v>93</v>
      </c>
      <c r="B480" s="36" t="s">
        <v>94</v>
      </c>
      <c r="C480" s="36">
        <v>23396081.69162</v>
      </c>
      <c r="D480" s="36" t="s">
        <v>90</v>
      </c>
    </row>
    <row r="481" spans="1:4" x14ac:dyDescent="0.25">
      <c r="A481" s="36" t="s">
        <v>95</v>
      </c>
      <c r="B481" s="36" t="s">
        <v>96</v>
      </c>
      <c r="C481" s="36">
        <v>0.74300999999999995</v>
      </c>
      <c r="D481" s="36" t="s">
        <v>97</v>
      </c>
    </row>
    <row r="482" spans="1:4" x14ac:dyDescent="0.25">
      <c r="A482" s="36" t="s">
        <v>98</v>
      </c>
      <c r="B482" s="36" t="s">
        <v>99</v>
      </c>
      <c r="C482" s="36">
        <v>0.51956999999999998</v>
      </c>
      <c r="D482" s="36" t="s">
        <v>97</v>
      </c>
    </row>
    <row r="483" spans="1:4" x14ac:dyDescent="0.25">
      <c r="A483" s="36" t="s">
        <v>100</v>
      </c>
      <c r="B483" s="36" t="s">
        <v>101</v>
      </c>
      <c r="C483" s="36">
        <v>50.390990000000002</v>
      </c>
      <c r="D483" s="36" t="s">
        <v>76</v>
      </c>
    </row>
    <row r="484" spans="1:4" x14ac:dyDescent="0.25">
      <c r="A484" s="36" t="s">
        <v>102</v>
      </c>
      <c r="B484" s="36" t="s">
        <v>103</v>
      </c>
      <c r="C484" s="36">
        <v>141.53702999999999</v>
      </c>
      <c r="D484" s="36" t="s">
        <v>76</v>
      </c>
    </row>
    <row r="485" spans="1:4" x14ac:dyDescent="0.25">
      <c r="A485" s="36" t="s">
        <v>104</v>
      </c>
      <c r="B485" s="36" t="s">
        <v>105</v>
      </c>
      <c r="C485" s="36">
        <v>739.19572000000005</v>
      </c>
      <c r="D485" s="36" t="s">
        <v>76</v>
      </c>
    </row>
    <row r="488" spans="1:4" x14ac:dyDescent="0.25">
      <c r="A488" s="35" t="s">
        <v>208</v>
      </c>
    </row>
    <row r="489" spans="1:4" x14ac:dyDescent="0.25">
      <c r="A489" s="36" t="s">
        <v>45</v>
      </c>
    </row>
    <row r="490" spans="1:4" x14ac:dyDescent="0.25">
      <c r="A490" s="36" t="s">
        <v>46</v>
      </c>
      <c r="B490" s="36" t="s">
        <v>209</v>
      </c>
    </row>
    <row r="492" spans="1:4" x14ac:dyDescent="0.25">
      <c r="A492" s="36" t="s">
        <v>45</v>
      </c>
    </row>
    <row r="493" spans="1:4" x14ac:dyDescent="0.25">
      <c r="A493" s="36" t="s">
        <v>210</v>
      </c>
    </row>
    <row r="494" spans="1:4" x14ac:dyDescent="0.25">
      <c r="A494" s="36" t="s">
        <v>49</v>
      </c>
      <c r="B494" s="36" t="s">
        <v>50</v>
      </c>
    </row>
    <row r="495" spans="1:4" x14ac:dyDescent="0.25">
      <c r="A495" s="36" t="s">
        <v>51</v>
      </c>
      <c r="B495" s="36">
        <v>16</v>
      </c>
    </row>
    <row r="496" spans="1:4" x14ac:dyDescent="0.25">
      <c r="A496" s="36" t="s">
        <v>52</v>
      </c>
      <c r="B496" s="36">
        <v>88</v>
      </c>
    </row>
    <row r="497" spans="1:2" x14ac:dyDescent="0.25">
      <c r="A497" s="36" t="s">
        <v>211</v>
      </c>
    </row>
    <row r="499" spans="1:2" x14ac:dyDescent="0.25">
      <c r="A499" s="36" t="s">
        <v>45</v>
      </c>
    </row>
    <row r="500" spans="1:2" x14ac:dyDescent="0.25">
      <c r="A500" s="36" t="s">
        <v>212</v>
      </c>
    </row>
    <row r="502" spans="1:2" x14ac:dyDescent="0.25">
      <c r="A502" s="36" t="s">
        <v>213</v>
      </c>
    </row>
    <row r="504" spans="1:2" x14ac:dyDescent="0.25">
      <c r="A504" s="36" t="s">
        <v>57</v>
      </c>
      <c r="B504" s="36" t="s">
        <v>214</v>
      </c>
    </row>
    <row r="505" spans="1:2" x14ac:dyDescent="0.25">
      <c r="A505" s="36" t="s">
        <v>59</v>
      </c>
      <c r="B505" s="36" t="s">
        <v>60</v>
      </c>
    </row>
    <row r="506" spans="1:2" x14ac:dyDescent="0.25">
      <c r="A506" s="36" t="s">
        <v>61</v>
      </c>
      <c r="B506" s="36" t="s">
        <v>62</v>
      </c>
    </row>
    <row r="507" spans="1:2" x14ac:dyDescent="0.25">
      <c r="A507" s="36" t="s">
        <v>63</v>
      </c>
      <c r="B507" s="37">
        <v>2.1064814814814813E-3</v>
      </c>
    </row>
    <row r="508" spans="1:2" x14ac:dyDescent="0.25">
      <c r="A508" s="36" t="s">
        <v>64</v>
      </c>
      <c r="B508" s="36" t="s">
        <v>215</v>
      </c>
    </row>
    <row r="509" spans="1:2" x14ac:dyDescent="0.25">
      <c r="A509" s="36" t="s">
        <v>66</v>
      </c>
      <c r="B509" s="36" t="s">
        <v>216</v>
      </c>
    </row>
    <row r="511" spans="1:2" x14ac:dyDescent="0.25">
      <c r="A511" s="36" t="s">
        <v>68</v>
      </c>
    </row>
    <row r="512" spans="1:2" x14ac:dyDescent="0.25">
      <c r="A512" s="36" t="s">
        <v>69</v>
      </c>
    </row>
    <row r="513" spans="1:7" x14ac:dyDescent="0.25">
      <c r="A513" s="36" t="s">
        <v>70</v>
      </c>
      <c r="B513" s="36" t="s">
        <v>71</v>
      </c>
      <c r="C513" s="36" t="s">
        <v>72</v>
      </c>
      <c r="D513" s="36" t="s">
        <v>73</v>
      </c>
    </row>
    <row r="515" spans="1:7" x14ac:dyDescent="0.25">
      <c r="A515" s="36" t="s">
        <v>74</v>
      </c>
      <c r="C515" s="36">
        <v>297</v>
      </c>
    </row>
    <row r="516" spans="1:7" x14ac:dyDescent="0.25">
      <c r="A516" s="36" t="s">
        <v>75</v>
      </c>
      <c r="C516" s="36">
        <v>610</v>
      </c>
      <c r="D516" s="36" t="s">
        <v>76</v>
      </c>
    </row>
    <row r="517" spans="1:7" x14ac:dyDescent="0.25">
      <c r="A517" s="36" t="s">
        <v>77</v>
      </c>
      <c r="C517" s="36">
        <v>906</v>
      </c>
      <c r="D517" s="36" t="s">
        <v>76</v>
      </c>
    </row>
    <row r="518" spans="1:7" x14ac:dyDescent="0.25">
      <c r="A518" s="36" t="s">
        <v>78</v>
      </c>
      <c r="C518" s="36">
        <v>12.000909999999999</v>
      </c>
      <c r="D518" s="36" t="s">
        <v>79</v>
      </c>
    </row>
    <row r="519" spans="1:7" x14ac:dyDescent="0.25">
      <c r="A519" s="36" t="s">
        <v>51</v>
      </c>
      <c r="C519" s="36">
        <v>16</v>
      </c>
    </row>
    <row r="520" spans="1:7" x14ac:dyDescent="0.25">
      <c r="A520" s="36" t="s">
        <v>52</v>
      </c>
      <c r="C520" s="36">
        <v>88</v>
      </c>
    </row>
    <row r="522" spans="1:7" x14ac:dyDescent="0.25">
      <c r="A522" s="36" t="s">
        <v>80</v>
      </c>
      <c r="B522" s="36" t="s">
        <v>81</v>
      </c>
      <c r="C522" s="36">
        <v>431070630.16667002</v>
      </c>
      <c r="D522" s="36" t="s">
        <v>82</v>
      </c>
    </row>
    <row r="523" spans="1:7" x14ac:dyDescent="0.25">
      <c r="A523" s="36" t="s">
        <v>83</v>
      </c>
      <c r="B523" s="36" t="s">
        <v>84</v>
      </c>
      <c r="C523" s="36">
        <v>345082395.58332998</v>
      </c>
      <c r="D523" s="36" t="s">
        <v>82</v>
      </c>
    </row>
    <row r="524" spans="1:7" x14ac:dyDescent="0.25">
      <c r="A524" s="36" t="s">
        <v>85</v>
      </c>
      <c r="B524" s="36" t="s">
        <v>86</v>
      </c>
      <c r="C524" s="36">
        <v>80.052400000000006</v>
      </c>
      <c r="D524" s="36" t="s">
        <v>87</v>
      </c>
      <c r="F524" s="38">
        <f>100-C524</f>
        <v>19.947599999999994</v>
      </c>
      <c r="G524" s="38" t="s">
        <v>21</v>
      </c>
    </row>
    <row r="525" spans="1:7" x14ac:dyDescent="0.25">
      <c r="A525" s="36" t="s">
        <v>88</v>
      </c>
      <c r="B525" s="36" t="s">
        <v>89</v>
      </c>
      <c r="C525" s="36">
        <v>4238789.8657299997</v>
      </c>
      <c r="D525" s="36" t="s">
        <v>90</v>
      </c>
    </row>
    <row r="526" spans="1:7" x14ac:dyDescent="0.25">
      <c r="A526" s="36" t="s">
        <v>91</v>
      </c>
      <c r="B526" s="36" t="s">
        <v>92</v>
      </c>
      <c r="C526" s="36">
        <v>72606472.99109</v>
      </c>
      <c r="D526" s="36" t="s">
        <v>90</v>
      </c>
    </row>
    <row r="527" spans="1:7" x14ac:dyDescent="0.25">
      <c r="A527" s="36" t="s">
        <v>93</v>
      </c>
      <c r="B527" s="36" t="s">
        <v>94</v>
      </c>
      <c r="C527" s="36">
        <v>2956165.6305200001</v>
      </c>
      <c r="D527" s="36" t="s">
        <v>90</v>
      </c>
    </row>
    <row r="528" spans="1:7" x14ac:dyDescent="0.25">
      <c r="A528" s="36" t="s">
        <v>95</v>
      </c>
      <c r="B528" s="36" t="s">
        <v>96</v>
      </c>
      <c r="C528" s="36">
        <v>0.2104</v>
      </c>
      <c r="D528" s="36" t="s">
        <v>97</v>
      </c>
    </row>
    <row r="529" spans="1:4" x14ac:dyDescent="0.25">
      <c r="A529" s="36" t="s">
        <v>98</v>
      </c>
      <c r="B529" s="36" t="s">
        <v>99</v>
      </c>
      <c r="C529" s="36">
        <v>0.16843</v>
      </c>
      <c r="D529" s="36" t="s">
        <v>97</v>
      </c>
    </row>
    <row r="530" spans="1:4" x14ac:dyDescent="0.25">
      <c r="A530" s="36" t="s">
        <v>100</v>
      </c>
      <c r="B530" s="36" t="s">
        <v>101</v>
      </c>
      <c r="C530" s="36">
        <v>-16.524819999999998</v>
      </c>
      <c r="D530" s="36" t="s">
        <v>76</v>
      </c>
    </row>
    <row r="531" spans="1:4" x14ac:dyDescent="0.25">
      <c r="A531" s="36" t="s">
        <v>102</v>
      </c>
      <c r="B531" s="36" t="s">
        <v>103</v>
      </c>
      <c r="C531" s="36">
        <v>2.7326000000000001</v>
      </c>
      <c r="D531" s="36" t="s">
        <v>76</v>
      </c>
    </row>
    <row r="532" spans="1:4" x14ac:dyDescent="0.25">
      <c r="A532" s="36" t="s">
        <v>104</v>
      </c>
      <c r="B532" s="36" t="s">
        <v>105</v>
      </c>
      <c r="C532" s="36">
        <v>755.32974000000002</v>
      </c>
      <c r="D532" s="36" t="s">
        <v>76</v>
      </c>
    </row>
    <row r="533" spans="1:4" x14ac:dyDescent="0.25">
      <c r="A533" s="36" t="s">
        <v>106</v>
      </c>
      <c r="B533" s="36" t="s">
        <v>107</v>
      </c>
      <c r="C533" s="36">
        <v>10.358449999999999</v>
      </c>
      <c r="D533" s="36" t="s">
        <v>76</v>
      </c>
    </row>
    <row r="534" spans="1:4" x14ac:dyDescent="0.25">
      <c r="A534" s="36" t="s">
        <v>108</v>
      </c>
      <c r="B534" s="36" t="s">
        <v>109</v>
      </c>
      <c r="C534" s="36">
        <v>7.7280000000000001E-2</v>
      </c>
      <c r="D534" s="36" t="s">
        <v>97</v>
      </c>
    </row>
    <row r="536" spans="1:4" x14ac:dyDescent="0.25">
      <c r="A536" s="36" t="s">
        <v>112</v>
      </c>
      <c r="B536" s="36" t="s">
        <v>107</v>
      </c>
    </row>
    <row r="537" spans="1:4" x14ac:dyDescent="0.25">
      <c r="A537" s="36" t="s">
        <v>113</v>
      </c>
      <c r="B537" s="36" t="s">
        <v>114</v>
      </c>
      <c r="C537" s="36" t="s">
        <v>115</v>
      </c>
      <c r="D537" s="36" t="s">
        <v>116</v>
      </c>
    </row>
    <row r="538" spans="1:4" x14ac:dyDescent="0.25">
      <c r="A538" s="36" t="s">
        <v>76</v>
      </c>
      <c r="B538" s="36" t="s">
        <v>76</v>
      </c>
      <c r="C538" s="36" t="s">
        <v>82</v>
      </c>
      <c r="D538" s="36" t="s">
        <v>87</v>
      </c>
    </row>
    <row r="539" spans="1:4" x14ac:dyDescent="0.25">
      <c r="A539" s="36" t="s">
        <v>117</v>
      </c>
      <c r="B539" s="36">
        <v>2</v>
      </c>
      <c r="C539" s="36">
        <v>1722479</v>
      </c>
      <c r="D539" s="36">
        <v>0.50229999999999997</v>
      </c>
    </row>
    <row r="540" spans="1:4" x14ac:dyDescent="0.25">
      <c r="A540" s="36" t="s">
        <v>118</v>
      </c>
      <c r="B540" s="36">
        <v>4</v>
      </c>
      <c r="C540" s="36">
        <v>13951416</v>
      </c>
      <c r="D540" s="36">
        <v>4.0682</v>
      </c>
    </row>
    <row r="541" spans="1:4" x14ac:dyDescent="0.25">
      <c r="A541" s="36" t="s">
        <v>119</v>
      </c>
      <c r="B541" s="36">
        <v>6</v>
      </c>
      <c r="C541" s="36">
        <v>28764012</v>
      </c>
      <c r="D541" s="36">
        <v>8.3876000000000008</v>
      </c>
    </row>
    <row r="542" spans="1:4" x14ac:dyDescent="0.25">
      <c r="A542" s="36" t="s">
        <v>120</v>
      </c>
      <c r="B542" s="36">
        <v>8</v>
      </c>
      <c r="C542" s="36">
        <v>70342473</v>
      </c>
      <c r="D542" s="36">
        <v>20.511800000000001</v>
      </c>
    </row>
    <row r="543" spans="1:4" x14ac:dyDescent="0.25">
      <c r="A543" s="36" t="s">
        <v>121</v>
      </c>
      <c r="B543" s="36">
        <v>10</v>
      </c>
      <c r="C543" s="36">
        <v>89549972</v>
      </c>
      <c r="D543" s="36">
        <v>26.1127</v>
      </c>
    </row>
    <row r="544" spans="1:4" x14ac:dyDescent="0.25">
      <c r="A544" s="36" t="s">
        <v>122</v>
      </c>
      <c r="B544" s="36">
        <v>12</v>
      </c>
      <c r="C544" s="36">
        <v>68152216</v>
      </c>
      <c r="D544" s="36">
        <v>19.873200000000001</v>
      </c>
    </row>
    <row r="545" spans="1:4" x14ac:dyDescent="0.25">
      <c r="A545" s="36" t="s">
        <v>123</v>
      </c>
      <c r="B545" s="36">
        <v>14</v>
      </c>
      <c r="C545" s="36">
        <v>47523375</v>
      </c>
      <c r="D545" s="36">
        <v>13.857799999999999</v>
      </c>
    </row>
    <row r="546" spans="1:4" x14ac:dyDescent="0.25">
      <c r="A546" s="36" t="s">
        <v>124</v>
      </c>
      <c r="B546" s="36">
        <v>16</v>
      </c>
      <c r="C546" s="36">
        <v>17797548</v>
      </c>
      <c r="D546" s="36">
        <v>5.1898</v>
      </c>
    </row>
    <row r="547" spans="1:4" x14ac:dyDescent="0.25">
      <c r="A547" s="36" t="s">
        <v>125</v>
      </c>
      <c r="B547" s="36">
        <v>18</v>
      </c>
      <c r="C547" s="36">
        <v>4270834</v>
      </c>
      <c r="D547" s="36">
        <v>1.2454000000000001</v>
      </c>
    </row>
    <row r="548" spans="1:4" x14ac:dyDescent="0.25">
      <c r="A548" s="36" t="s">
        <v>126</v>
      </c>
      <c r="B548" s="36">
        <v>20</v>
      </c>
      <c r="C548" s="36">
        <v>776374</v>
      </c>
      <c r="D548" s="36">
        <v>0.22639999999999999</v>
      </c>
    </row>
    <row r="549" spans="1:4" x14ac:dyDescent="0.25">
      <c r="A549" s="36" t="s">
        <v>127</v>
      </c>
      <c r="B549" s="36">
        <v>22</v>
      </c>
      <c r="C549" s="36">
        <v>78336</v>
      </c>
      <c r="D549" s="36">
        <v>2.2800000000000001E-2</v>
      </c>
    </row>
    <row r="550" spans="1:4" x14ac:dyDescent="0.25">
      <c r="A550" s="36" t="s">
        <v>128</v>
      </c>
      <c r="B550" s="36">
        <v>24</v>
      </c>
      <c r="C550" s="36">
        <v>7107</v>
      </c>
      <c r="D550" s="36">
        <v>2.0999999999999999E-3</v>
      </c>
    </row>
    <row r="551" spans="1:4" x14ac:dyDescent="0.25">
      <c r="A551" s="36" t="s">
        <v>130</v>
      </c>
      <c r="B551" s="36" t="s">
        <v>131</v>
      </c>
      <c r="C551" s="36">
        <v>3.1242399999999999</v>
      </c>
      <c r="D551" s="36" t="s">
        <v>76</v>
      </c>
    </row>
    <row r="556" spans="1:4" x14ac:dyDescent="0.25">
      <c r="A556" s="36" t="s">
        <v>45</v>
      </c>
    </row>
    <row r="557" spans="1:4" x14ac:dyDescent="0.25">
      <c r="A557" s="36" t="s">
        <v>217</v>
      </c>
    </row>
    <row r="559" spans="1:4" x14ac:dyDescent="0.25">
      <c r="A559" s="36" t="s">
        <v>218</v>
      </c>
    </row>
    <row r="560" spans="1:4" x14ac:dyDescent="0.25">
      <c r="A560" s="36" t="s">
        <v>185</v>
      </c>
    </row>
    <row r="561" spans="1:1" x14ac:dyDescent="0.25">
      <c r="A561" s="36" t="s">
        <v>219</v>
      </c>
    </row>
    <row r="563" spans="1:1" x14ac:dyDescent="0.25">
      <c r="A563" s="36" t="s">
        <v>45</v>
      </c>
    </row>
    <row r="564" spans="1:1" x14ac:dyDescent="0.25">
      <c r="A564" s="36" t="s">
        <v>220</v>
      </c>
    </row>
    <row r="565" spans="1:1" x14ac:dyDescent="0.25">
      <c r="A565" s="36" t="s">
        <v>188</v>
      </c>
    </row>
    <row r="566" spans="1:1" x14ac:dyDescent="0.25">
      <c r="A566" s="36" t="s">
        <v>221</v>
      </c>
    </row>
    <row r="568" spans="1:1" x14ac:dyDescent="0.25">
      <c r="A568" s="36" t="s">
        <v>45</v>
      </c>
    </row>
    <row r="569" spans="1:1" x14ac:dyDescent="0.25">
      <c r="A569" s="36" t="s">
        <v>222</v>
      </c>
    </row>
    <row r="571" spans="1:1" x14ac:dyDescent="0.25">
      <c r="A571" s="36" t="s">
        <v>223</v>
      </c>
    </row>
    <row r="572" spans="1:1" x14ac:dyDescent="0.25">
      <c r="A572" s="36" t="s">
        <v>185</v>
      </c>
    </row>
    <row r="573" spans="1:1" x14ac:dyDescent="0.25">
      <c r="A573" s="36" t="s">
        <v>192</v>
      </c>
    </row>
    <row r="574" spans="1:1" x14ac:dyDescent="0.25">
      <c r="A574" s="36" t="s">
        <v>219</v>
      </c>
    </row>
    <row r="576" spans="1:1" x14ac:dyDescent="0.25">
      <c r="A576" s="36" t="s">
        <v>45</v>
      </c>
    </row>
    <row r="578" spans="1:1" x14ac:dyDescent="0.25">
      <c r="A578" s="36" t="s">
        <v>45</v>
      </c>
    </row>
    <row r="579" spans="1:1" x14ac:dyDescent="0.25">
      <c r="A579" s="36" t="s">
        <v>224</v>
      </c>
    </row>
    <row r="580" spans="1:1" x14ac:dyDescent="0.25">
      <c r="A580" s="36" t="s">
        <v>188</v>
      </c>
    </row>
    <row r="581" spans="1:1" x14ac:dyDescent="0.25">
      <c r="A581" s="36" t="s">
        <v>225</v>
      </c>
    </row>
    <row r="583" spans="1:1" x14ac:dyDescent="0.25">
      <c r="A583" s="36" t="s">
        <v>45</v>
      </c>
    </row>
    <row r="584" spans="1:1" x14ac:dyDescent="0.25">
      <c r="A584" s="36" t="s">
        <v>226</v>
      </c>
    </row>
    <row r="585" spans="1:1" x14ac:dyDescent="0.25">
      <c r="A585" s="36" t="s">
        <v>145</v>
      </c>
    </row>
    <row r="586" spans="1:1" x14ac:dyDescent="0.25">
      <c r="A586" s="36" t="s">
        <v>227</v>
      </c>
    </row>
    <row r="588" spans="1:1" x14ac:dyDescent="0.25">
      <c r="A588" s="36" t="s">
        <v>45</v>
      </c>
    </row>
    <row r="589" spans="1:1" x14ac:dyDescent="0.25">
      <c r="A589" s="36" t="s">
        <v>228</v>
      </c>
    </row>
    <row r="590" spans="1:1" x14ac:dyDescent="0.25">
      <c r="A590" s="36" t="s">
        <v>154</v>
      </c>
    </row>
    <row r="591" spans="1:1" x14ac:dyDescent="0.25">
      <c r="A591" s="36" t="s">
        <v>149</v>
      </c>
    </row>
    <row r="592" spans="1:1" x14ac:dyDescent="0.25">
      <c r="A592" s="36" t="s">
        <v>229</v>
      </c>
    </row>
    <row r="594" spans="1:2" x14ac:dyDescent="0.25">
      <c r="A594" s="36" t="s">
        <v>45</v>
      </c>
    </row>
    <row r="595" spans="1:2" x14ac:dyDescent="0.25">
      <c r="A595" s="36" t="s">
        <v>230</v>
      </c>
    </row>
    <row r="596" spans="1:2" x14ac:dyDescent="0.25">
      <c r="A596" s="36" t="s">
        <v>152</v>
      </c>
    </row>
    <row r="598" spans="1:2" x14ac:dyDescent="0.25">
      <c r="A598" s="36" t="s">
        <v>45</v>
      </c>
    </row>
    <row r="599" spans="1:2" x14ac:dyDescent="0.25">
      <c r="A599" s="36" t="s">
        <v>231</v>
      </c>
    </row>
    <row r="600" spans="1:2" x14ac:dyDescent="0.25">
      <c r="A600" s="36" t="s">
        <v>158</v>
      </c>
    </row>
    <row r="601" spans="1:2" x14ac:dyDescent="0.25">
      <c r="A601" s="36" t="s">
        <v>232</v>
      </c>
    </row>
    <row r="603" spans="1:2" x14ac:dyDescent="0.25">
      <c r="A603" s="36" t="s">
        <v>45</v>
      </c>
    </row>
    <row r="605" spans="1:2" x14ac:dyDescent="0.25">
      <c r="A605" s="36" t="s">
        <v>45</v>
      </c>
    </row>
    <row r="606" spans="1:2" x14ac:dyDescent="0.25">
      <c r="A606" s="36" t="s">
        <v>233</v>
      </c>
    </row>
    <row r="608" spans="1:2" x14ac:dyDescent="0.25">
      <c r="A608" s="36" t="s">
        <v>57</v>
      </c>
      <c r="B608" s="36" t="s">
        <v>234</v>
      </c>
    </row>
    <row r="609" spans="1:4" x14ac:dyDescent="0.25">
      <c r="A609" s="36" t="s">
        <v>59</v>
      </c>
      <c r="B609" s="36" t="s">
        <v>60</v>
      </c>
    </row>
    <row r="610" spans="1:4" x14ac:dyDescent="0.25">
      <c r="A610" s="36" t="s">
        <v>61</v>
      </c>
      <c r="B610" s="36" t="s">
        <v>62</v>
      </c>
    </row>
    <row r="611" spans="1:4" x14ac:dyDescent="0.25">
      <c r="A611" s="36" t="s">
        <v>63</v>
      </c>
      <c r="B611" s="37">
        <v>6.9444444444444444E-5</v>
      </c>
    </row>
    <row r="612" spans="1:4" x14ac:dyDescent="0.25">
      <c r="A612" s="36" t="s">
        <v>64</v>
      </c>
      <c r="B612" s="36" t="s">
        <v>215</v>
      </c>
    </row>
    <row r="613" spans="1:4" x14ac:dyDescent="0.25">
      <c r="A613" s="36" t="s">
        <v>66</v>
      </c>
      <c r="B613" s="36" t="s">
        <v>216</v>
      </c>
    </row>
    <row r="615" spans="1:4" x14ac:dyDescent="0.25">
      <c r="A615" s="36" t="s">
        <v>68</v>
      </c>
    </row>
    <row r="616" spans="1:4" x14ac:dyDescent="0.25">
      <c r="A616" s="36" t="s">
        <v>69</v>
      </c>
    </row>
    <row r="617" spans="1:4" x14ac:dyDescent="0.25">
      <c r="A617" s="36" t="s">
        <v>70</v>
      </c>
      <c r="B617" s="36" t="s">
        <v>71</v>
      </c>
      <c r="C617" s="36" t="s">
        <v>72</v>
      </c>
      <c r="D617" s="36" t="s">
        <v>73</v>
      </c>
    </row>
    <row r="619" spans="1:4" x14ac:dyDescent="0.25">
      <c r="A619" s="36" t="s">
        <v>74</v>
      </c>
      <c r="C619" s="36">
        <v>297</v>
      </c>
    </row>
    <row r="620" spans="1:4" x14ac:dyDescent="0.25">
      <c r="A620" s="36" t="s">
        <v>75</v>
      </c>
      <c r="C620" s="36">
        <v>610</v>
      </c>
      <c r="D620" s="36" t="s">
        <v>76</v>
      </c>
    </row>
    <row r="621" spans="1:4" x14ac:dyDescent="0.25">
      <c r="A621" s="36" t="s">
        <v>77</v>
      </c>
      <c r="C621" s="36">
        <v>906</v>
      </c>
      <c r="D621" s="36" t="s">
        <v>76</v>
      </c>
    </row>
    <row r="622" spans="1:4" x14ac:dyDescent="0.25">
      <c r="A622" s="36" t="s">
        <v>78</v>
      </c>
      <c r="C622" s="36">
        <v>12.000909999999999</v>
      </c>
      <c r="D622" s="36" t="s">
        <v>79</v>
      </c>
    </row>
    <row r="623" spans="1:4" x14ac:dyDescent="0.25">
      <c r="A623" s="36" t="s">
        <v>51</v>
      </c>
      <c r="C623" s="36">
        <v>16</v>
      </c>
    </row>
    <row r="624" spans="1:4" x14ac:dyDescent="0.25">
      <c r="A624" s="36" t="s">
        <v>52</v>
      </c>
      <c r="C624" s="36">
        <v>88</v>
      </c>
    </row>
    <row r="626" spans="1:5" x14ac:dyDescent="0.25">
      <c r="A626" s="36" t="s">
        <v>80</v>
      </c>
      <c r="B626" s="36" t="s">
        <v>81</v>
      </c>
      <c r="C626" s="36">
        <v>71878856.341670007</v>
      </c>
      <c r="D626" s="36" t="s">
        <v>82</v>
      </c>
    </row>
    <row r="627" spans="1:5" x14ac:dyDescent="0.25">
      <c r="A627" s="36" t="s">
        <v>83</v>
      </c>
      <c r="B627" s="36" t="s">
        <v>84</v>
      </c>
      <c r="C627" s="36">
        <v>61866391.695830002</v>
      </c>
      <c r="D627" s="36" t="s">
        <v>82</v>
      </c>
    </row>
    <row r="628" spans="1:5" x14ac:dyDescent="0.25">
      <c r="A628" s="36" t="s">
        <v>85</v>
      </c>
      <c r="B628" s="36" t="s">
        <v>86</v>
      </c>
      <c r="C628" s="38">
        <v>86.070359999999994</v>
      </c>
      <c r="D628" s="38" t="s">
        <v>87</v>
      </c>
      <c r="E628" s="38" t="s">
        <v>162</v>
      </c>
    </row>
    <row r="629" spans="1:5" x14ac:dyDescent="0.25">
      <c r="A629" s="36" t="s">
        <v>88</v>
      </c>
      <c r="B629" s="36" t="s">
        <v>89</v>
      </c>
      <c r="C629" s="36">
        <v>49449868.129929997</v>
      </c>
      <c r="D629" s="36" t="s">
        <v>90</v>
      </c>
    </row>
    <row r="630" spans="1:5" x14ac:dyDescent="0.25">
      <c r="A630" s="36" t="s">
        <v>91</v>
      </c>
      <c r="B630" s="36" t="s">
        <v>92</v>
      </c>
      <c r="C630" s="36">
        <v>36676239.062870003</v>
      </c>
      <c r="D630" s="36" t="s">
        <v>90</v>
      </c>
    </row>
    <row r="631" spans="1:5" x14ac:dyDescent="0.25">
      <c r="A631" s="36" t="s">
        <v>93</v>
      </c>
      <c r="B631" s="36" t="s">
        <v>94</v>
      </c>
      <c r="C631" s="36">
        <v>36666321.157990001</v>
      </c>
      <c r="D631" s="36" t="s">
        <v>90</v>
      </c>
    </row>
    <row r="632" spans="1:5" x14ac:dyDescent="0.25">
      <c r="A632" s="36" t="s">
        <v>95</v>
      </c>
      <c r="B632" s="36" t="s">
        <v>96</v>
      </c>
      <c r="C632" s="36">
        <v>0.59282999999999997</v>
      </c>
      <c r="D632" s="36" t="s">
        <v>97</v>
      </c>
    </row>
    <row r="633" spans="1:5" x14ac:dyDescent="0.25">
      <c r="A633" s="36" t="s">
        <v>98</v>
      </c>
      <c r="B633" s="36" t="s">
        <v>99</v>
      </c>
      <c r="C633" s="36">
        <v>0.51024999999999998</v>
      </c>
      <c r="D633" s="36" t="s">
        <v>97</v>
      </c>
    </row>
    <row r="634" spans="1:5" x14ac:dyDescent="0.25">
      <c r="A634" s="36" t="s">
        <v>100</v>
      </c>
      <c r="B634" s="36" t="s">
        <v>101</v>
      </c>
      <c r="C634" s="36">
        <v>77.684240000000003</v>
      </c>
      <c r="D634" s="36" t="s">
        <v>76</v>
      </c>
    </row>
    <row r="635" spans="1:5" x14ac:dyDescent="0.25">
      <c r="A635" s="36" t="s">
        <v>102</v>
      </c>
      <c r="B635" s="36" t="s">
        <v>103</v>
      </c>
      <c r="C635" s="36">
        <v>134.08582000000001</v>
      </c>
      <c r="D635" s="36" t="s">
        <v>76</v>
      </c>
    </row>
    <row r="636" spans="1:5" x14ac:dyDescent="0.25">
      <c r="A636" s="36" t="s">
        <v>104</v>
      </c>
      <c r="B636" s="36" t="s">
        <v>105</v>
      </c>
      <c r="C636" s="36">
        <v>754.32516999999996</v>
      </c>
      <c r="D636" s="36" t="s">
        <v>76</v>
      </c>
    </row>
    <row r="639" spans="1:5" x14ac:dyDescent="0.25">
      <c r="A639" s="35" t="s">
        <v>235</v>
      </c>
    </row>
    <row r="640" spans="1:5" x14ac:dyDescent="0.25">
      <c r="A640" s="36" t="s">
        <v>45</v>
      </c>
    </row>
    <row r="641" spans="1:2" x14ac:dyDescent="0.25">
      <c r="A641" s="36" t="s">
        <v>46</v>
      </c>
      <c r="B641" s="36" t="s">
        <v>236</v>
      </c>
    </row>
    <row r="643" spans="1:2" x14ac:dyDescent="0.25">
      <c r="A643" s="36" t="s">
        <v>45</v>
      </c>
    </row>
    <row r="644" spans="1:2" x14ac:dyDescent="0.25">
      <c r="A644" s="36" t="s">
        <v>46</v>
      </c>
      <c r="B644" s="36" t="s">
        <v>236</v>
      </c>
    </row>
    <row r="646" spans="1:2" x14ac:dyDescent="0.25">
      <c r="A646" s="36" t="s">
        <v>45</v>
      </c>
    </row>
    <row r="647" spans="1:2" x14ac:dyDescent="0.25">
      <c r="A647" s="36" t="s">
        <v>237</v>
      </c>
    </row>
    <row r="648" spans="1:2" x14ac:dyDescent="0.25">
      <c r="A648" s="36" t="s">
        <v>49</v>
      </c>
      <c r="B648" s="36" t="s">
        <v>50</v>
      </c>
    </row>
    <row r="649" spans="1:2" x14ac:dyDescent="0.25">
      <c r="A649" s="36" t="s">
        <v>51</v>
      </c>
      <c r="B649" s="36">
        <v>16</v>
      </c>
    </row>
    <row r="650" spans="1:2" x14ac:dyDescent="0.25">
      <c r="A650" s="36" t="s">
        <v>52</v>
      </c>
      <c r="B650" s="36">
        <v>88</v>
      </c>
    </row>
    <row r="651" spans="1:2" x14ac:dyDescent="0.25">
      <c r="A651" s="36" t="s">
        <v>238</v>
      </c>
    </row>
    <row r="653" spans="1:2" x14ac:dyDescent="0.25">
      <c r="A653" s="36" t="s">
        <v>45</v>
      </c>
    </row>
    <row r="654" spans="1:2" x14ac:dyDescent="0.25">
      <c r="A654" s="36" t="s">
        <v>239</v>
      </c>
    </row>
    <row r="656" spans="1:2" x14ac:dyDescent="0.25">
      <c r="A656" s="36" t="s">
        <v>240</v>
      </c>
    </row>
    <row r="658" spans="1:4" x14ac:dyDescent="0.25">
      <c r="A658" s="36" t="s">
        <v>57</v>
      </c>
      <c r="B658" s="36" t="s">
        <v>241</v>
      </c>
    </row>
    <row r="659" spans="1:4" x14ac:dyDescent="0.25">
      <c r="A659" s="36" t="s">
        <v>59</v>
      </c>
      <c r="B659" s="36" t="s">
        <v>60</v>
      </c>
    </row>
    <row r="660" spans="1:4" x14ac:dyDescent="0.25">
      <c r="A660" s="36" t="s">
        <v>61</v>
      </c>
      <c r="B660" s="36" t="s">
        <v>62</v>
      </c>
    </row>
    <row r="661" spans="1:4" x14ac:dyDescent="0.25">
      <c r="A661" s="36" t="s">
        <v>63</v>
      </c>
      <c r="B661" s="37">
        <v>2.4421296296296296E-3</v>
      </c>
    </row>
    <row r="662" spans="1:4" x14ac:dyDescent="0.25">
      <c r="A662" s="36" t="s">
        <v>64</v>
      </c>
      <c r="B662" s="36" t="s">
        <v>178</v>
      </c>
    </row>
    <row r="663" spans="1:4" x14ac:dyDescent="0.25">
      <c r="A663" s="36" t="s">
        <v>66</v>
      </c>
      <c r="B663" s="36" t="s">
        <v>242</v>
      </c>
    </row>
    <row r="665" spans="1:4" x14ac:dyDescent="0.25">
      <c r="A665" s="36" t="s">
        <v>68</v>
      </c>
    </row>
    <row r="666" spans="1:4" x14ac:dyDescent="0.25">
      <c r="A666" s="36" t="s">
        <v>69</v>
      </c>
    </row>
    <row r="667" spans="1:4" x14ac:dyDescent="0.25">
      <c r="A667" s="36" t="s">
        <v>70</v>
      </c>
      <c r="B667" s="36" t="s">
        <v>71</v>
      </c>
      <c r="C667" s="36" t="s">
        <v>72</v>
      </c>
      <c r="D667" s="36" t="s">
        <v>73</v>
      </c>
    </row>
    <row r="669" spans="1:4" x14ac:dyDescent="0.25">
      <c r="A669" s="36" t="s">
        <v>74</v>
      </c>
      <c r="C669" s="36">
        <v>289</v>
      </c>
    </row>
    <row r="670" spans="1:4" x14ac:dyDescent="0.25">
      <c r="A670" s="36" t="s">
        <v>75</v>
      </c>
      <c r="C670" s="36">
        <v>617</v>
      </c>
      <c r="D670" s="36" t="s">
        <v>76</v>
      </c>
    </row>
    <row r="671" spans="1:4" x14ac:dyDescent="0.25">
      <c r="A671" s="36" t="s">
        <v>77</v>
      </c>
      <c r="C671" s="36">
        <v>905</v>
      </c>
      <c r="D671" s="36" t="s">
        <v>76</v>
      </c>
    </row>
    <row r="672" spans="1:4" x14ac:dyDescent="0.25">
      <c r="A672" s="36" t="s">
        <v>78</v>
      </c>
      <c r="C672" s="36">
        <v>12.000909999999999</v>
      </c>
      <c r="D672" s="36" t="s">
        <v>79</v>
      </c>
    </row>
    <row r="673" spans="1:6" x14ac:dyDescent="0.25">
      <c r="A673" s="36" t="s">
        <v>51</v>
      </c>
      <c r="C673" s="36">
        <v>16</v>
      </c>
    </row>
    <row r="674" spans="1:6" x14ac:dyDescent="0.25">
      <c r="A674" s="36" t="s">
        <v>52</v>
      </c>
      <c r="C674" s="36">
        <v>88</v>
      </c>
    </row>
    <row r="676" spans="1:6" x14ac:dyDescent="0.25">
      <c r="A676" s="36" t="s">
        <v>80</v>
      </c>
      <c r="B676" s="36" t="s">
        <v>81</v>
      </c>
      <c r="C676" s="36">
        <v>405983798.16667002</v>
      </c>
      <c r="D676" s="36" t="s">
        <v>82</v>
      </c>
    </row>
    <row r="677" spans="1:6" x14ac:dyDescent="0.25">
      <c r="A677" s="36" t="s">
        <v>83</v>
      </c>
      <c r="B677" s="36" t="s">
        <v>84</v>
      </c>
      <c r="C677" s="36">
        <v>334042844.13332999</v>
      </c>
      <c r="D677" s="36" t="s">
        <v>82</v>
      </c>
    </row>
    <row r="678" spans="1:6" x14ac:dyDescent="0.25">
      <c r="A678" s="36" t="s">
        <v>85</v>
      </c>
      <c r="B678" s="36" t="s">
        <v>86</v>
      </c>
      <c r="C678" s="36">
        <v>82.279849999999996</v>
      </c>
      <c r="D678" s="36" t="s">
        <v>87</v>
      </c>
      <c r="E678" s="38">
        <f>100-C678</f>
        <v>17.720150000000004</v>
      </c>
      <c r="F678" s="38" t="s">
        <v>21</v>
      </c>
    </row>
    <row r="679" spans="1:6" x14ac:dyDescent="0.25">
      <c r="A679" s="36" t="s">
        <v>88</v>
      </c>
      <c r="B679" s="36" t="s">
        <v>89</v>
      </c>
      <c r="C679" s="36">
        <v>4088154.6324800001</v>
      </c>
      <c r="D679" s="36" t="s">
        <v>90</v>
      </c>
    </row>
    <row r="680" spans="1:6" x14ac:dyDescent="0.25">
      <c r="A680" s="36" t="s">
        <v>91</v>
      </c>
      <c r="B680" s="36" t="s">
        <v>92</v>
      </c>
      <c r="C680" s="36">
        <v>50163999.98443</v>
      </c>
      <c r="D680" s="36" t="s">
        <v>90</v>
      </c>
    </row>
    <row r="681" spans="1:6" x14ac:dyDescent="0.25">
      <c r="A681" s="36" t="s">
        <v>93</v>
      </c>
      <c r="B681" s="36" t="s">
        <v>94</v>
      </c>
      <c r="C681" s="36">
        <v>2208410.2040800001</v>
      </c>
      <c r="D681" s="36" t="s">
        <v>90</v>
      </c>
    </row>
    <row r="682" spans="1:6" x14ac:dyDescent="0.25">
      <c r="A682" s="36" t="s">
        <v>95</v>
      </c>
      <c r="B682" s="36" t="s">
        <v>96</v>
      </c>
      <c r="C682" s="36">
        <v>0.15017</v>
      </c>
      <c r="D682" s="36" t="s">
        <v>97</v>
      </c>
    </row>
    <row r="683" spans="1:6" x14ac:dyDescent="0.25">
      <c r="A683" s="36" t="s">
        <v>98</v>
      </c>
      <c r="B683" s="36" t="s">
        <v>99</v>
      </c>
      <c r="C683" s="36">
        <v>0.12356</v>
      </c>
      <c r="D683" s="36" t="s">
        <v>97</v>
      </c>
    </row>
    <row r="684" spans="1:6" x14ac:dyDescent="0.25">
      <c r="A684" s="36" t="s">
        <v>100</v>
      </c>
      <c r="B684" s="36" t="s">
        <v>101</v>
      </c>
      <c r="C684" s="36">
        <v>-16.59479</v>
      </c>
      <c r="D684" s="36" t="s">
        <v>76</v>
      </c>
    </row>
    <row r="685" spans="1:6" x14ac:dyDescent="0.25">
      <c r="A685" s="36" t="s">
        <v>102</v>
      </c>
      <c r="B685" s="36" t="s">
        <v>103</v>
      </c>
      <c r="C685" s="36">
        <v>-13.495799999999999</v>
      </c>
      <c r="D685" s="36" t="s">
        <v>76</v>
      </c>
    </row>
    <row r="686" spans="1:6" x14ac:dyDescent="0.25">
      <c r="A686" s="36" t="s">
        <v>104</v>
      </c>
      <c r="B686" s="36" t="s">
        <v>105</v>
      </c>
      <c r="C686" s="36">
        <v>762.41236000000004</v>
      </c>
      <c r="D686" s="36" t="s">
        <v>76</v>
      </c>
    </row>
    <row r="687" spans="1:6" x14ac:dyDescent="0.25">
      <c r="A687" s="36" t="s">
        <v>106</v>
      </c>
      <c r="B687" s="36" t="s">
        <v>107</v>
      </c>
      <c r="C687" s="36">
        <v>16.139279999999999</v>
      </c>
      <c r="D687" s="36" t="s">
        <v>76</v>
      </c>
    </row>
    <row r="688" spans="1:6" x14ac:dyDescent="0.25">
      <c r="A688" s="36" t="s">
        <v>108</v>
      </c>
      <c r="B688" s="36" t="s">
        <v>109</v>
      </c>
      <c r="C688" s="36">
        <v>5.0979999999999998E-2</v>
      </c>
      <c r="D688" s="36" t="s">
        <v>97</v>
      </c>
    </row>
    <row r="690" spans="1:4" x14ac:dyDescent="0.25">
      <c r="A690" s="36" t="s">
        <v>112</v>
      </c>
      <c r="B690" s="36" t="s">
        <v>107</v>
      </c>
    </row>
    <row r="691" spans="1:4" x14ac:dyDescent="0.25">
      <c r="A691" s="36" t="s">
        <v>113</v>
      </c>
      <c r="B691" s="36" t="s">
        <v>114</v>
      </c>
      <c r="C691" s="36" t="s">
        <v>115</v>
      </c>
      <c r="D691" s="36" t="s">
        <v>116</v>
      </c>
    </row>
    <row r="692" spans="1:4" x14ac:dyDescent="0.25">
      <c r="A692" s="36" t="s">
        <v>76</v>
      </c>
      <c r="B692" s="36" t="s">
        <v>76</v>
      </c>
      <c r="C692" s="36" t="s">
        <v>82</v>
      </c>
      <c r="D692" s="36" t="s">
        <v>87</v>
      </c>
    </row>
    <row r="693" spans="1:4" x14ac:dyDescent="0.25">
      <c r="A693" s="36" t="s">
        <v>117</v>
      </c>
      <c r="B693" s="36">
        <v>2</v>
      </c>
      <c r="C693" s="36">
        <v>1942588</v>
      </c>
      <c r="D693" s="36">
        <v>0.58350000000000002</v>
      </c>
    </row>
    <row r="694" spans="1:4" x14ac:dyDescent="0.25">
      <c r="A694" s="36" t="s">
        <v>118</v>
      </c>
      <c r="B694" s="36">
        <v>4</v>
      </c>
      <c r="C694" s="36">
        <v>11294487</v>
      </c>
      <c r="D694" s="36">
        <v>3.3925000000000001</v>
      </c>
    </row>
    <row r="695" spans="1:4" x14ac:dyDescent="0.25">
      <c r="A695" s="36" t="s">
        <v>119</v>
      </c>
      <c r="B695" s="36">
        <v>6</v>
      </c>
      <c r="C695" s="36">
        <v>17211952</v>
      </c>
      <c r="D695" s="36">
        <v>5.1698000000000004</v>
      </c>
    </row>
    <row r="696" spans="1:4" x14ac:dyDescent="0.25">
      <c r="A696" s="36" t="s">
        <v>120</v>
      </c>
      <c r="B696" s="36">
        <v>8</v>
      </c>
      <c r="C696" s="36">
        <v>30947799</v>
      </c>
      <c r="D696" s="36">
        <v>9.2956000000000003</v>
      </c>
    </row>
    <row r="697" spans="1:4" x14ac:dyDescent="0.25">
      <c r="A697" s="36" t="s">
        <v>121</v>
      </c>
      <c r="B697" s="36">
        <v>10</v>
      </c>
      <c r="C697" s="36">
        <v>35849630</v>
      </c>
      <c r="D697" s="36">
        <v>10.767899999999999</v>
      </c>
    </row>
    <row r="698" spans="1:4" x14ac:dyDescent="0.25">
      <c r="A698" s="36" t="s">
        <v>122</v>
      </c>
      <c r="B698" s="36">
        <v>12</v>
      </c>
      <c r="C698" s="36">
        <v>32789392</v>
      </c>
      <c r="D698" s="36">
        <v>9.8486999999999991</v>
      </c>
    </row>
    <row r="699" spans="1:4" x14ac:dyDescent="0.25">
      <c r="A699" s="36" t="s">
        <v>123</v>
      </c>
      <c r="B699" s="36">
        <v>14</v>
      </c>
      <c r="C699" s="36">
        <v>36705812</v>
      </c>
      <c r="D699" s="36">
        <v>11.0251</v>
      </c>
    </row>
    <row r="700" spans="1:4" x14ac:dyDescent="0.25">
      <c r="A700" s="36" t="s">
        <v>124</v>
      </c>
      <c r="B700" s="36">
        <v>16</v>
      </c>
      <c r="C700" s="36">
        <v>31095050</v>
      </c>
      <c r="D700" s="36">
        <v>9.3398000000000003</v>
      </c>
    </row>
    <row r="701" spans="1:4" x14ac:dyDescent="0.25">
      <c r="A701" s="36" t="s">
        <v>125</v>
      </c>
      <c r="B701" s="36">
        <v>18</v>
      </c>
      <c r="C701" s="36">
        <v>24535652</v>
      </c>
      <c r="D701" s="36">
        <v>7.3696000000000002</v>
      </c>
    </row>
    <row r="702" spans="1:4" x14ac:dyDescent="0.25">
      <c r="A702" s="36" t="s">
        <v>126</v>
      </c>
      <c r="B702" s="36">
        <v>20</v>
      </c>
      <c r="C702" s="36">
        <v>22268377</v>
      </c>
      <c r="D702" s="36">
        <v>6.6886000000000001</v>
      </c>
    </row>
    <row r="703" spans="1:4" x14ac:dyDescent="0.25">
      <c r="A703" s="36" t="s">
        <v>127</v>
      </c>
      <c r="B703" s="36">
        <v>22</v>
      </c>
      <c r="C703" s="36">
        <v>20846934</v>
      </c>
      <c r="D703" s="36">
        <v>6.2617000000000003</v>
      </c>
    </row>
    <row r="704" spans="1:4" x14ac:dyDescent="0.25">
      <c r="A704" s="36" t="s">
        <v>128</v>
      </c>
      <c r="B704" s="36">
        <v>24</v>
      </c>
      <c r="C704" s="36">
        <v>18424482</v>
      </c>
      <c r="D704" s="36">
        <v>5.5339999999999998</v>
      </c>
    </row>
    <row r="705" spans="1:4" x14ac:dyDescent="0.25">
      <c r="A705" s="36" t="s">
        <v>129</v>
      </c>
      <c r="B705" s="36">
        <v>26</v>
      </c>
      <c r="C705" s="36">
        <v>16548894</v>
      </c>
      <c r="D705" s="36">
        <v>4.9706999999999999</v>
      </c>
    </row>
    <row r="706" spans="1:4" x14ac:dyDescent="0.25">
      <c r="A706" s="36" t="s">
        <v>133</v>
      </c>
      <c r="B706" s="36">
        <v>28</v>
      </c>
      <c r="C706" s="36">
        <v>12575519</v>
      </c>
      <c r="D706" s="36">
        <v>3.7772000000000001</v>
      </c>
    </row>
    <row r="707" spans="1:4" x14ac:dyDescent="0.25">
      <c r="A707" s="36" t="s">
        <v>134</v>
      </c>
      <c r="B707" s="36">
        <v>30</v>
      </c>
      <c r="C707" s="36">
        <v>9103243</v>
      </c>
      <c r="D707" s="36">
        <v>2.7343000000000002</v>
      </c>
    </row>
    <row r="708" spans="1:4" x14ac:dyDescent="0.25">
      <c r="A708" s="36" t="s">
        <v>135</v>
      </c>
      <c r="B708" s="36">
        <v>32</v>
      </c>
      <c r="C708" s="36">
        <v>5098785</v>
      </c>
      <c r="D708" s="36">
        <v>1.5315000000000001</v>
      </c>
    </row>
    <row r="709" spans="1:4" x14ac:dyDescent="0.25">
      <c r="A709" s="36" t="s">
        <v>136</v>
      </c>
      <c r="B709" s="36">
        <v>34</v>
      </c>
      <c r="C709" s="36">
        <v>3081229</v>
      </c>
      <c r="D709" s="36">
        <v>0.92549999999999999</v>
      </c>
    </row>
    <row r="710" spans="1:4" x14ac:dyDescent="0.25">
      <c r="A710" s="36" t="s">
        <v>137</v>
      </c>
      <c r="B710" s="36">
        <v>36</v>
      </c>
      <c r="C710" s="36">
        <v>1319736</v>
      </c>
      <c r="D710" s="36">
        <v>0.39639999999999997</v>
      </c>
    </row>
    <row r="711" spans="1:4" x14ac:dyDescent="0.25">
      <c r="A711" s="36" t="s">
        <v>180</v>
      </c>
      <c r="B711" s="36">
        <v>38</v>
      </c>
      <c r="C711" s="36">
        <v>713185</v>
      </c>
      <c r="D711" s="36">
        <v>0.2142</v>
      </c>
    </row>
    <row r="712" spans="1:4" x14ac:dyDescent="0.25">
      <c r="A712" s="36" t="s">
        <v>181</v>
      </c>
      <c r="B712" s="36">
        <v>40</v>
      </c>
      <c r="C712" s="36">
        <v>218692</v>
      </c>
      <c r="D712" s="36">
        <v>6.5699999999999995E-2</v>
      </c>
    </row>
    <row r="713" spans="1:4" x14ac:dyDescent="0.25">
      <c r="A713" s="36" t="s">
        <v>182</v>
      </c>
      <c r="B713" s="36">
        <v>42</v>
      </c>
      <c r="C713" s="36">
        <v>205502</v>
      </c>
      <c r="D713" s="36">
        <v>6.1699999999999998E-2</v>
      </c>
    </row>
    <row r="714" spans="1:4" x14ac:dyDescent="0.25">
      <c r="A714" s="36" t="s">
        <v>243</v>
      </c>
      <c r="B714" s="36">
        <v>44</v>
      </c>
      <c r="C714" s="36">
        <v>153139</v>
      </c>
      <c r="D714" s="36">
        <v>4.5999999999999999E-2</v>
      </c>
    </row>
    <row r="715" spans="1:4" x14ac:dyDescent="0.25">
      <c r="A715" s="36" t="s">
        <v>130</v>
      </c>
      <c r="B715" s="36" t="s">
        <v>131</v>
      </c>
      <c r="C715" s="36">
        <v>7.52658</v>
      </c>
      <c r="D715" s="36" t="s">
        <v>76</v>
      </c>
    </row>
    <row r="720" spans="1:4" x14ac:dyDescent="0.25">
      <c r="A720" s="36" t="s">
        <v>45</v>
      </c>
    </row>
    <row r="721" spans="1:1" x14ac:dyDescent="0.25">
      <c r="A721" s="36" t="s">
        <v>244</v>
      </c>
    </row>
    <row r="723" spans="1:1" x14ac:dyDescent="0.25">
      <c r="A723" s="36" t="s">
        <v>245</v>
      </c>
    </row>
    <row r="724" spans="1:1" x14ac:dyDescent="0.25">
      <c r="A724" s="36" t="s">
        <v>185</v>
      </c>
    </row>
    <row r="725" spans="1:1" x14ac:dyDescent="0.25">
      <c r="A725" s="36" t="s">
        <v>246</v>
      </c>
    </row>
    <row r="727" spans="1:1" x14ac:dyDescent="0.25">
      <c r="A727" s="36" t="s">
        <v>45</v>
      </c>
    </row>
    <row r="728" spans="1:1" x14ac:dyDescent="0.25">
      <c r="A728" s="36" t="s">
        <v>247</v>
      </c>
    </row>
    <row r="729" spans="1:1" x14ac:dyDescent="0.25">
      <c r="A729" s="36" t="s">
        <v>188</v>
      </c>
    </row>
    <row r="730" spans="1:1" x14ac:dyDescent="0.25">
      <c r="A730" s="36" t="s">
        <v>248</v>
      </c>
    </row>
    <row r="732" spans="1:1" x14ac:dyDescent="0.25">
      <c r="A732" s="36" t="s">
        <v>45</v>
      </c>
    </row>
    <row r="733" spans="1:1" x14ac:dyDescent="0.25">
      <c r="A733" s="36" t="s">
        <v>249</v>
      </c>
    </row>
    <row r="735" spans="1:1" x14ac:dyDescent="0.25">
      <c r="A735" s="36" t="s">
        <v>250</v>
      </c>
    </row>
    <row r="736" spans="1:1" x14ac:dyDescent="0.25">
      <c r="A736" s="36" t="s">
        <v>185</v>
      </c>
    </row>
    <row r="737" spans="1:1" x14ac:dyDescent="0.25">
      <c r="A737" s="36" t="s">
        <v>192</v>
      </c>
    </row>
    <row r="738" spans="1:1" x14ac:dyDescent="0.25">
      <c r="A738" s="36" t="s">
        <v>246</v>
      </c>
    </row>
    <row r="740" spans="1:1" x14ac:dyDescent="0.25">
      <c r="A740" s="36" t="s">
        <v>45</v>
      </c>
    </row>
    <row r="742" spans="1:1" x14ac:dyDescent="0.25">
      <c r="A742" s="36" t="s">
        <v>45</v>
      </c>
    </row>
    <row r="743" spans="1:1" x14ac:dyDescent="0.25">
      <c r="A743" s="36" t="s">
        <v>251</v>
      </c>
    </row>
    <row r="744" spans="1:1" x14ac:dyDescent="0.25">
      <c r="A744" s="36" t="s">
        <v>188</v>
      </c>
    </row>
    <row r="745" spans="1:1" x14ac:dyDescent="0.25">
      <c r="A745" s="36" t="s">
        <v>252</v>
      </c>
    </row>
    <row r="747" spans="1:1" x14ac:dyDescent="0.25">
      <c r="A747" s="36" t="s">
        <v>45</v>
      </c>
    </row>
    <row r="748" spans="1:1" x14ac:dyDescent="0.25">
      <c r="A748" s="36" t="s">
        <v>253</v>
      </c>
    </row>
    <row r="749" spans="1:1" x14ac:dyDescent="0.25">
      <c r="A749" s="36" t="s">
        <v>145</v>
      </c>
    </row>
    <row r="750" spans="1:1" x14ac:dyDescent="0.25">
      <c r="A750" s="36" t="s">
        <v>254</v>
      </c>
    </row>
    <row r="752" spans="1:1" x14ac:dyDescent="0.25">
      <c r="A752" s="36" t="s">
        <v>45</v>
      </c>
    </row>
    <row r="753" spans="1:1" x14ac:dyDescent="0.25">
      <c r="A753" s="36" t="s">
        <v>255</v>
      </c>
    </row>
    <row r="754" spans="1:1" x14ac:dyDescent="0.25">
      <c r="A754" s="36" t="s">
        <v>154</v>
      </c>
    </row>
    <row r="755" spans="1:1" x14ac:dyDescent="0.25">
      <c r="A755" s="36" t="s">
        <v>149</v>
      </c>
    </row>
    <row r="756" spans="1:1" x14ac:dyDescent="0.25">
      <c r="A756" s="36" t="s">
        <v>256</v>
      </c>
    </row>
    <row r="758" spans="1:1" x14ac:dyDescent="0.25">
      <c r="A758" s="36" t="s">
        <v>45</v>
      </c>
    </row>
    <row r="759" spans="1:1" x14ac:dyDescent="0.25">
      <c r="A759" s="36" t="s">
        <v>257</v>
      </c>
    </row>
    <row r="760" spans="1:1" x14ac:dyDescent="0.25">
      <c r="A760" s="36" t="s">
        <v>152</v>
      </c>
    </row>
    <row r="762" spans="1:1" x14ac:dyDescent="0.25">
      <c r="A762" s="36" t="s">
        <v>45</v>
      </c>
    </row>
    <row r="763" spans="1:1" x14ac:dyDescent="0.25">
      <c r="A763" s="36" t="s">
        <v>258</v>
      </c>
    </row>
    <row r="764" spans="1:1" x14ac:dyDescent="0.25">
      <c r="A764" s="36" t="s">
        <v>158</v>
      </c>
    </row>
    <row r="765" spans="1:1" x14ac:dyDescent="0.25">
      <c r="A765" s="36" t="s">
        <v>259</v>
      </c>
    </row>
    <row r="767" spans="1:1" x14ac:dyDescent="0.25">
      <c r="A767" s="36" t="s">
        <v>45</v>
      </c>
    </row>
    <row r="768" spans="1:1" x14ac:dyDescent="0.25">
      <c r="A768" s="36" t="s">
        <v>260</v>
      </c>
    </row>
    <row r="770" spans="1:4" x14ac:dyDescent="0.25">
      <c r="A770" s="36" t="s">
        <v>57</v>
      </c>
      <c r="B770" s="36" t="s">
        <v>261</v>
      </c>
    </row>
    <row r="771" spans="1:4" x14ac:dyDescent="0.25">
      <c r="A771" s="36" t="s">
        <v>59</v>
      </c>
      <c r="B771" s="36" t="s">
        <v>60</v>
      </c>
    </row>
    <row r="772" spans="1:4" x14ac:dyDescent="0.25">
      <c r="A772" s="36" t="s">
        <v>61</v>
      </c>
      <c r="B772" s="36" t="s">
        <v>62</v>
      </c>
    </row>
    <row r="773" spans="1:4" x14ac:dyDescent="0.25">
      <c r="A773" s="36" t="s">
        <v>63</v>
      </c>
      <c r="B773" s="37">
        <v>6.9444444444444444E-5</v>
      </c>
    </row>
    <row r="774" spans="1:4" x14ac:dyDescent="0.25">
      <c r="A774" s="36" t="s">
        <v>64</v>
      </c>
      <c r="B774" s="36" t="s">
        <v>178</v>
      </c>
    </row>
    <row r="775" spans="1:4" x14ac:dyDescent="0.25">
      <c r="A775" s="36" t="s">
        <v>66</v>
      </c>
      <c r="B775" s="36" t="s">
        <v>242</v>
      </c>
    </row>
    <row r="777" spans="1:4" x14ac:dyDescent="0.25">
      <c r="A777" s="36" t="s">
        <v>68</v>
      </c>
    </row>
    <row r="778" spans="1:4" x14ac:dyDescent="0.25">
      <c r="A778" s="36" t="s">
        <v>69</v>
      </c>
    </row>
    <row r="779" spans="1:4" x14ac:dyDescent="0.25">
      <c r="A779" s="36" t="s">
        <v>70</v>
      </c>
      <c r="B779" s="36" t="s">
        <v>71</v>
      </c>
      <c r="C779" s="36" t="s">
        <v>72</v>
      </c>
      <c r="D779" s="36" t="s">
        <v>73</v>
      </c>
    </row>
    <row r="781" spans="1:4" x14ac:dyDescent="0.25">
      <c r="A781" s="36" t="s">
        <v>74</v>
      </c>
      <c r="C781" s="36">
        <v>289</v>
      </c>
    </row>
    <row r="782" spans="1:4" x14ac:dyDescent="0.25">
      <c r="A782" s="36" t="s">
        <v>75</v>
      </c>
      <c r="C782" s="36">
        <v>617</v>
      </c>
      <c r="D782" s="36" t="s">
        <v>76</v>
      </c>
    </row>
    <row r="783" spans="1:4" x14ac:dyDescent="0.25">
      <c r="A783" s="36" t="s">
        <v>77</v>
      </c>
      <c r="C783" s="36">
        <v>905</v>
      </c>
      <c r="D783" s="36" t="s">
        <v>76</v>
      </c>
    </row>
    <row r="784" spans="1:4" x14ac:dyDescent="0.25">
      <c r="A784" s="36" t="s">
        <v>78</v>
      </c>
      <c r="C784" s="36">
        <v>12.000909999999999</v>
      </c>
      <c r="D784" s="36" t="s">
        <v>79</v>
      </c>
    </row>
    <row r="785" spans="1:5" x14ac:dyDescent="0.25">
      <c r="A785" s="36" t="s">
        <v>51</v>
      </c>
      <c r="C785" s="36">
        <v>16</v>
      </c>
    </row>
    <row r="786" spans="1:5" x14ac:dyDescent="0.25">
      <c r="A786" s="36" t="s">
        <v>52</v>
      </c>
      <c r="C786" s="36">
        <v>88</v>
      </c>
    </row>
    <row r="788" spans="1:5" x14ac:dyDescent="0.25">
      <c r="A788" s="36" t="s">
        <v>80</v>
      </c>
      <c r="B788" s="36" t="s">
        <v>81</v>
      </c>
      <c r="C788" s="36">
        <v>85876693.495829999</v>
      </c>
      <c r="D788" s="36" t="s">
        <v>82</v>
      </c>
    </row>
    <row r="789" spans="1:5" x14ac:dyDescent="0.25">
      <c r="A789" s="36" t="s">
        <v>83</v>
      </c>
      <c r="B789" s="36" t="s">
        <v>84</v>
      </c>
      <c r="C789" s="36">
        <v>66900547.345830001</v>
      </c>
      <c r="D789" s="36" t="s">
        <v>82</v>
      </c>
    </row>
    <row r="790" spans="1:5" x14ac:dyDescent="0.25">
      <c r="A790" s="36" t="s">
        <v>85</v>
      </c>
      <c r="B790" s="36" t="s">
        <v>86</v>
      </c>
      <c r="C790" s="38">
        <v>77.903030000000001</v>
      </c>
      <c r="D790" s="38" t="s">
        <v>87</v>
      </c>
      <c r="E790" s="38" t="s">
        <v>162</v>
      </c>
    </row>
    <row r="791" spans="1:5" x14ac:dyDescent="0.25">
      <c r="A791" s="36" t="s">
        <v>88</v>
      </c>
      <c r="B791" s="36" t="s">
        <v>89</v>
      </c>
      <c r="C791" s="36">
        <v>70210253.723539993</v>
      </c>
      <c r="D791" s="36" t="s">
        <v>90</v>
      </c>
    </row>
    <row r="792" spans="1:5" x14ac:dyDescent="0.25">
      <c r="A792" s="36" t="s">
        <v>91</v>
      </c>
      <c r="B792" s="36" t="s">
        <v>92</v>
      </c>
      <c r="C792" s="36">
        <v>47702785.809380002</v>
      </c>
      <c r="D792" s="36" t="s">
        <v>90</v>
      </c>
    </row>
    <row r="793" spans="1:5" x14ac:dyDescent="0.25">
      <c r="A793" s="36" t="s">
        <v>93</v>
      </c>
      <c r="B793" s="36" t="s">
        <v>94</v>
      </c>
      <c r="C793" s="36">
        <v>47685464.504890002</v>
      </c>
      <c r="D793" s="36" t="s">
        <v>90</v>
      </c>
    </row>
    <row r="794" spans="1:5" x14ac:dyDescent="0.25">
      <c r="A794" s="36" t="s">
        <v>95</v>
      </c>
      <c r="B794" s="36" t="s">
        <v>96</v>
      </c>
      <c r="C794" s="36">
        <v>0.71304000000000001</v>
      </c>
      <c r="D794" s="36" t="s">
        <v>97</v>
      </c>
    </row>
    <row r="795" spans="1:5" x14ac:dyDescent="0.25">
      <c r="A795" s="36" t="s">
        <v>98</v>
      </c>
      <c r="B795" s="36" t="s">
        <v>99</v>
      </c>
      <c r="C795" s="36">
        <v>0.55547999999999997</v>
      </c>
      <c r="D795" s="36" t="s">
        <v>97</v>
      </c>
    </row>
    <row r="796" spans="1:5" x14ac:dyDescent="0.25">
      <c r="A796" s="36" t="s">
        <v>100</v>
      </c>
      <c r="B796" s="36" t="s">
        <v>101</v>
      </c>
      <c r="C796" s="36">
        <v>142.98667</v>
      </c>
      <c r="D796" s="36" t="s">
        <v>76</v>
      </c>
    </row>
    <row r="797" spans="1:5" x14ac:dyDescent="0.25">
      <c r="A797" s="36" t="s">
        <v>102</v>
      </c>
      <c r="B797" s="36" t="s">
        <v>103</v>
      </c>
      <c r="C797" s="36">
        <v>-26.073509999999999</v>
      </c>
      <c r="D797" s="36" t="s">
        <v>76</v>
      </c>
    </row>
    <row r="798" spans="1:5" x14ac:dyDescent="0.25">
      <c r="A798" s="36" t="s">
        <v>104</v>
      </c>
      <c r="B798" s="36" t="s">
        <v>105</v>
      </c>
      <c r="C798" s="36">
        <v>777.54274999999996</v>
      </c>
      <c r="D798" s="36" t="s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89FF-D360-47D3-B1BC-783D756C7DB8}">
  <dimension ref="A1:E4"/>
  <sheetViews>
    <sheetView zoomScale="120" zoomScaleNormal="120" workbookViewId="0">
      <selection activeCell="D34" sqref="D34"/>
    </sheetView>
  </sheetViews>
  <sheetFormatPr defaultColWidth="8.85546875" defaultRowHeight="15" x14ac:dyDescent="0.25"/>
  <cols>
    <col min="1" max="1" width="11.42578125" bestFit="1" customWidth="1"/>
    <col min="2" max="2" width="11.85546875" customWidth="1"/>
    <col min="3" max="3" width="14.85546875" customWidth="1"/>
    <col min="4" max="4" width="12.7109375" bestFit="1" customWidth="1"/>
    <col min="5" max="5" width="14.42578125" customWidth="1"/>
  </cols>
  <sheetData>
    <row r="1" spans="1:5" x14ac:dyDescent="0.25">
      <c r="A1" s="10" t="s">
        <v>9</v>
      </c>
      <c r="B1" s="10" t="s">
        <v>21</v>
      </c>
      <c r="C1" s="10" t="s">
        <v>22</v>
      </c>
      <c r="D1" s="10" t="s">
        <v>23</v>
      </c>
      <c r="E1" s="10" t="s">
        <v>24</v>
      </c>
    </row>
    <row r="2" spans="1:5" x14ac:dyDescent="0.25">
      <c r="A2" s="10" t="s">
        <v>10</v>
      </c>
      <c r="B2" s="15">
        <v>0.21540999999999999</v>
      </c>
      <c r="C2" s="16">
        <v>2.0977000000000001</v>
      </c>
      <c r="D2" s="16">
        <v>2.6736</v>
      </c>
      <c r="E2" s="11"/>
    </row>
    <row r="3" spans="1:5" x14ac:dyDescent="0.25">
      <c r="A3" s="10" t="s">
        <v>11</v>
      </c>
      <c r="B3" s="17">
        <v>0.20023991367698099</v>
      </c>
      <c r="C3" s="16">
        <v>2.1063999999999998</v>
      </c>
      <c r="D3" s="16">
        <v>2.6337999999999999</v>
      </c>
      <c r="E3" s="18">
        <f>(B2-B3)/B2</f>
        <v>7.0424243642444637E-2</v>
      </c>
    </row>
    <row r="4" spans="1:5" x14ac:dyDescent="0.25">
      <c r="A4" s="10" t="s">
        <v>12</v>
      </c>
      <c r="B4" s="19">
        <v>0.21051</v>
      </c>
      <c r="C4" s="16">
        <v>2.1059999999999999</v>
      </c>
      <c r="D4" s="16">
        <v>2.6676000000000002</v>
      </c>
      <c r="E4" s="18">
        <f>(B2-B4)/B2</f>
        <v>2.2747319065967168E-2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5A06-CBA4-4240-BBD5-2B67586ABC3E}">
  <dimension ref="A1:J11"/>
  <sheetViews>
    <sheetView workbookViewId="0">
      <selection activeCell="G35" sqref="G35"/>
    </sheetView>
  </sheetViews>
  <sheetFormatPr defaultColWidth="8.85546875" defaultRowHeight="15" x14ac:dyDescent="0.25"/>
  <cols>
    <col min="1" max="1" width="12.42578125" customWidth="1"/>
  </cols>
  <sheetData>
    <row r="1" spans="1:10" ht="15.75" thickBot="1" x14ac:dyDescent="0.3">
      <c r="A1" s="46" t="s">
        <v>25</v>
      </c>
      <c r="B1" s="48" t="s">
        <v>10</v>
      </c>
      <c r="C1" s="49"/>
      <c r="D1" s="50"/>
      <c r="E1" s="48" t="s">
        <v>11</v>
      </c>
      <c r="F1" s="49"/>
      <c r="G1" s="50"/>
      <c r="H1" s="48" t="s">
        <v>12</v>
      </c>
      <c r="I1" s="49"/>
      <c r="J1" s="50"/>
    </row>
    <row r="2" spans="1:10" ht="45.75" thickBot="1" x14ac:dyDescent="0.3">
      <c r="A2" s="47"/>
      <c r="B2" s="20" t="s">
        <v>26</v>
      </c>
      <c r="C2" s="20" t="s">
        <v>27</v>
      </c>
      <c r="D2" s="21" t="s">
        <v>28</v>
      </c>
      <c r="E2" s="20" t="s">
        <v>26</v>
      </c>
      <c r="F2" s="20" t="s">
        <v>27</v>
      </c>
      <c r="G2" s="21" t="s">
        <v>28</v>
      </c>
      <c r="H2" s="20" t="s">
        <v>26</v>
      </c>
      <c r="I2" s="20" t="s">
        <v>27</v>
      </c>
      <c r="J2" s="21" t="s">
        <v>28</v>
      </c>
    </row>
    <row r="3" spans="1:10" x14ac:dyDescent="0.25">
      <c r="A3" s="45">
        <v>600</v>
      </c>
      <c r="B3" s="22">
        <v>5.6185010417593925E-2</v>
      </c>
      <c r="C3" s="39">
        <f>AVERAGE(B3:B5)</f>
        <v>5.5486071917757319E-2</v>
      </c>
      <c r="D3" s="39">
        <f>STDEV(B3:B5)</f>
        <v>6.368376336839352E-4</v>
      </c>
      <c r="E3" s="22">
        <v>1.8325759164063902E-2</v>
      </c>
      <c r="F3" s="39">
        <f>AVERAGE(E3:E5)</f>
        <v>1.9594247593435265E-2</v>
      </c>
      <c r="G3" s="39">
        <f>STDEV(E3:E5)</f>
        <v>1.3405364624200892E-3</v>
      </c>
      <c r="H3" s="22">
        <v>4.0096793647646629E-2</v>
      </c>
      <c r="I3" s="39">
        <f>AVERAGE(H3:H5)</f>
        <v>3.9247867257548322E-2</v>
      </c>
      <c r="J3" s="39">
        <f>STDEV(H3:H5)</f>
        <v>7.9482052496092327E-4</v>
      </c>
    </row>
    <row r="4" spans="1:10" x14ac:dyDescent="0.25">
      <c r="A4" s="43"/>
      <c r="B4" s="23">
        <v>5.4938673635706863E-2</v>
      </c>
      <c r="C4" s="40"/>
      <c r="D4" s="40"/>
      <c r="E4" s="23">
        <v>2.0996763137464295E-2</v>
      </c>
      <c r="F4" s="40"/>
      <c r="G4" s="40"/>
      <c r="H4" s="23">
        <v>3.9125451500901076E-2</v>
      </c>
      <c r="I4" s="40"/>
      <c r="J4" s="40"/>
    </row>
    <row r="5" spans="1:10" ht="15.75" thickBot="1" x14ac:dyDescent="0.3">
      <c r="A5" s="44"/>
      <c r="B5" s="24">
        <v>5.5334531699971178E-2</v>
      </c>
      <c r="C5" s="41"/>
      <c r="D5" s="41"/>
      <c r="E5" s="24">
        <v>1.9460220478777594E-2</v>
      </c>
      <c r="F5" s="41"/>
      <c r="G5" s="41"/>
      <c r="H5" s="24">
        <v>3.8521356624097267E-2</v>
      </c>
      <c r="I5" s="41"/>
      <c r="J5" s="41"/>
    </row>
    <row r="6" spans="1:10" x14ac:dyDescent="0.25">
      <c r="A6" s="45">
        <v>1600</v>
      </c>
      <c r="B6" s="22">
        <v>5.3692474057196848E-2</v>
      </c>
      <c r="C6" s="39">
        <f>AVERAGE(B6:B8)</f>
        <v>5.4564917335393377E-2</v>
      </c>
      <c r="D6" s="39">
        <f>STDEV(B6:B8)</f>
        <v>8.0885529798913199E-4</v>
      </c>
      <c r="E6" s="22">
        <v>1.8963143879055705E-2</v>
      </c>
      <c r="F6" s="39">
        <f>AVERAGE(E6:E8)</f>
        <v>1.8852300929462749E-2</v>
      </c>
      <c r="G6" s="39">
        <f>STDEV(E6:E8)</f>
        <v>1.1870875072450412E-4</v>
      </c>
      <c r="H6" s="22">
        <v>3.8490702761815085E-2</v>
      </c>
      <c r="I6" s="39">
        <f>AVERAGE(H6:H8)</f>
        <v>3.7003187462040205E-2</v>
      </c>
      <c r="J6" s="39">
        <f>STDEV(H6:H8)</f>
        <v>1.7985560317320026E-3</v>
      </c>
    </row>
    <row r="7" spans="1:10" x14ac:dyDescent="0.25">
      <c r="A7" s="43"/>
      <c r="B7" s="23">
        <v>5.4712384861391329E-2</v>
      </c>
      <c r="C7" s="40"/>
      <c r="D7" s="40"/>
      <c r="E7" s="23">
        <v>1.8866716034570522E-2</v>
      </c>
      <c r="F7" s="40"/>
      <c r="G7" s="40"/>
      <c r="H7" s="23">
        <v>3.5004329228939889E-2</v>
      </c>
      <c r="I7" s="40"/>
      <c r="J7" s="40"/>
    </row>
    <row r="8" spans="1:10" ht="15.75" thickBot="1" x14ac:dyDescent="0.3">
      <c r="A8" s="44"/>
      <c r="B8" s="24">
        <v>5.5289893087591968E-2</v>
      </c>
      <c r="C8" s="41"/>
      <c r="D8" s="41"/>
      <c r="E8" s="24">
        <v>1.8727042874762023E-2</v>
      </c>
      <c r="F8" s="41"/>
      <c r="G8" s="41"/>
      <c r="H8" s="24">
        <v>3.7514530395365647E-2</v>
      </c>
      <c r="I8" s="41"/>
      <c r="J8" s="41"/>
    </row>
    <row r="9" spans="1:10" x14ac:dyDescent="0.25">
      <c r="A9" s="42">
        <v>2600</v>
      </c>
      <c r="B9" s="25">
        <v>5.360476324027956E-2</v>
      </c>
      <c r="C9" s="39">
        <f>AVERAGE(B9:B11)</f>
        <v>5.354073837364446E-2</v>
      </c>
      <c r="D9" s="39">
        <f>STDEV(B9:B11)</f>
        <v>1.3148976066604994E-3</v>
      </c>
      <c r="E9" s="25">
        <v>1.6386546654587865E-2</v>
      </c>
      <c r="F9" s="39">
        <f>AVERAGE(E9:E11)</f>
        <v>1.7106386626274919E-2</v>
      </c>
      <c r="G9" s="39">
        <f>STDEV(E9:E11)</f>
        <v>6.3758588253974016E-4</v>
      </c>
      <c r="H9" s="25">
        <v>3.3817858697943279E-2</v>
      </c>
      <c r="I9" s="39">
        <f>AVERAGE(H9:H11)</f>
        <v>3.6524338289807896E-2</v>
      </c>
      <c r="J9" s="39">
        <f>STDEV(H9:H11)</f>
        <v>2.3857774706235093E-3</v>
      </c>
    </row>
    <row r="10" spans="1:10" x14ac:dyDescent="0.25">
      <c r="A10" s="43"/>
      <c r="B10" s="23">
        <v>5.2194997913549389E-2</v>
      </c>
      <c r="C10" s="40"/>
      <c r="D10" s="40"/>
      <c r="E10" s="23">
        <v>1.7332558457046451E-2</v>
      </c>
      <c r="F10" s="40"/>
      <c r="G10" s="40"/>
      <c r="H10" s="23">
        <v>3.7432426085351647E-2</v>
      </c>
      <c r="I10" s="40"/>
      <c r="J10" s="40"/>
    </row>
    <row r="11" spans="1:10" ht="15.75" thickBot="1" x14ac:dyDescent="0.3">
      <c r="A11" s="44"/>
      <c r="B11" s="24">
        <v>5.4822453967104445E-2</v>
      </c>
      <c r="C11" s="41"/>
      <c r="D11" s="41"/>
      <c r="E11" s="24">
        <v>1.7600054767190447E-2</v>
      </c>
      <c r="F11" s="41"/>
      <c r="G11" s="41"/>
      <c r="H11" s="24">
        <v>3.8322730086128777E-2</v>
      </c>
      <c r="I11" s="41"/>
      <c r="J11" s="41"/>
    </row>
  </sheetData>
  <mergeCells count="25">
    <mergeCell ref="A1:A2"/>
    <mergeCell ref="B1:D1"/>
    <mergeCell ref="E1:G1"/>
    <mergeCell ref="H1:J1"/>
    <mergeCell ref="A3:A5"/>
    <mergeCell ref="C3:C5"/>
    <mergeCell ref="D3:D5"/>
    <mergeCell ref="F3:F5"/>
    <mergeCell ref="G3:G5"/>
    <mergeCell ref="I3:I5"/>
    <mergeCell ref="J3:J5"/>
    <mergeCell ref="I6:I8"/>
    <mergeCell ref="J6:J8"/>
    <mergeCell ref="J9:J11"/>
    <mergeCell ref="A9:A11"/>
    <mergeCell ref="C9:C11"/>
    <mergeCell ref="D9:D11"/>
    <mergeCell ref="F9:F11"/>
    <mergeCell ref="G9:G11"/>
    <mergeCell ref="I9:I11"/>
    <mergeCell ref="A6:A8"/>
    <mergeCell ref="C6:C8"/>
    <mergeCell ref="D6:D8"/>
    <mergeCell ref="F6:F8"/>
    <mergeCell ref="G6:G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D9E1-59CD-4889-88E3-0A329E8BA8F9}">
  <dimension ref="A1:J22"/>
  <sheetViews>
    <sheetView topLeftCell="E2" workbookViewId="0">
      <selection activeCell="L25" sqref="L25"/>
    </sheetView>
  </sheetViews>
  <sheetFormatPr defaultColWidth="8.85546875" defaultRowHeight="15" x14ac:dyDescent="0.25"/>
  <cols>
    <col min="1" max="1" width="12.42578125" customWidth="1"/>
    <col min="2" max="2" width="12" bestFit="1" customWidth="1"/>
    <col min="3" max="3" width="14.28515625" customWidth="1"/>
    <col min="4" max="4" width="11" customWidth="1"/>
    <col min="5" max="5" width="12" bestFit="1" customWidth="1"/>
    <col min="6" max="6" width="14.140625" customWidth="1"/>
    <col min="7" max="7" width="12" bestFit="1" customWidth="1"/>
    <col min="8" max="8" width="14.85546875" customWidth="1"/>
    <col min="9" max="9" width="13" customWidth="1"/>
    <col min="10" max="10" width="10.7109375" customWidth="1"/>
  </cols>
  <sheetData>
    <row r="1" spans="1:10" ht="15.75" thickBot="1" x14ac:dyDescent="0.3">
      <c r="A1" s="46" t="s">
        <v>25</v>
      </c>
      <c r="B1" s="48" t="s">
        <v>10</v>
      </c>
      <c r="C1" s="49"/>
      <c r="D1" s="50"/>
      <c r="E1" s="48" t="s">
        <v>11</v>
      </c>
      <c r="F1" s="49"/>
      <c r="G1" s="50"/>
      <c r="H1" s="48" t="s">
        <v>12</v>
      </c>
      <c r="I1" s="49"/>
      <c r="J1" s="50"/>
    </row>
    <row r="2" spans="1:10" ht="30.75" thickBot="1" x14ac:dyDescent="0.3">
      <c r="A2" s="47"/>
      <c r="B2" s="20" t="s">
        <v>26</v>
      </c>
      <c r="C2" s="20" t="s">
        <v>27</v>
      </c>
      <c r="D2" s="21" t="s">
        <v>28</v>
      </c>
      <c r="E2" s="20" t="s">
        <v>26</v>
      </c>
      <c r="F2" s="20" t="s">
        <v>27</v>
      </c>
      <c r="G2" s="21" t="s">
        <v>28</v>
      </c>
      <c r="H2" s="20" t="s">
        <v>26</v>
      </c>
      <c r="I2" s="20" t="s">
        <v>27</v>
      </c>
      <c r="J2" s="21" t="s">
        <v>28</v>
      </c>
    </row>
    <row r="3" spans="1:10" x14ac:dyDescent="0.25">
      <c r="A3" s="45">
        <v>600</v>
      </c>
      <c r="B3" s="22">
        <v>5.6185010417593925E-2</v>
      </c>
      <c r="C3" s="39">
        <f>AVERAGE(B3:B5)</f>
        <v>5.5486071917757319E-2</v>
      </c>
      <c r="D3" s="39">
        <f>STDEV(B3:B5)</f>
        <v>6.368376336839352E-4</v>
      </c>
      <c r="E3" s="22">
        <v>1.8325759164063902E-2</v>
      </c>
      <c r="F3" s="39">
        <f>AVERAGE(E3:E5)</f>
        <v>1.9594247593435265E-2</v>
      </c>
      <c r="G3" s="39">
        <f>STDEV(E3:E5)</f>
        <v>1.3405364624200892E-3</v>
      </c>
      <c r="H3" s="22">
        <v>4.0096793647646629E-2</v>
      </c>
      <c r="I3" s="39">
        <f>AVERAGE(H3:H5)</f>
        <v>3.9247867257548322E-2</v>
      </c>
      <c r="J3" s="39">
        <f>STDEV(H3:H5)</f>
        <v>7.9482052496092327E-4</v>
      </c>
    </row>
    <row r="4" spans="1:10" x14ac:dyDescent="0.25">
      <c r="A4" s="43"/>
      <c r="B4" s="23">
        <v>5.4938673635706863E-2</v>
      </c>
      <c r="C4" s="40"/>
      <c r="D4" s="40"/>
      <c r="E4" s="23">
        <v>2.0996763137464295E-2</v>
      </c>
      <c r="F4" s="40"/>
      <c r="G4" s="40"/>
      <c r="H4" s="23">
        <v>3.9125451500901076E-2</v>
      </c>
      <c r="I4" s="40"/>
      <c r="J4" s="40"/>
    </row>
    <row r="5" spans="1:10" ht="15.75" thickBot="1" x14ac:dyDescent="0.3">
      <c r="A5" s="44"/>
      <c r="B5" s="24">
        <v>5.5334531699971178E-2</v>
      </c>
      <c r="C5" s="41"/>
      <c r="D5" s="41"/>
      <c r="E5" s="24">
        <v>1.9460220478777594E-2</v>
      </c>
      <c r="F5" s="41"/>
      <c r="G5" s="41"/>
      <c r="H5" s="24">
        <v>3.8521356624097267E-2</v>
      </c>
      <c r="I5" s="41"/>
      <c r="J5" s="41"/>
    </row>
    <row r="7" spans="1:10" ht="15.75" thickBot="1" x14ac:dyDescent="0.3"/>
    <row r="8" spans="1:10" x14ac:dyDescent="0.25">
      <c r="B8" s="51" t="s">
        <v>29</v>
      </c>
      <c r="C8" s="52"/>
      <c r="D8" s="53"/>
      <c r="E8" s="51" t="s">
        <v>30</v>
      </c>
      <c r="F8" s="52"/>
      <c r="G8" s="53"/>
      <c r="H8" s="51" t="s">
        <v>31</v>
      </c>
      <c r="I8" s="52"/>
      <c r="J8" s="53"/>
    </row>
    <row r="9" spans="1:10" s="26" customFormat="1" ht="30" x14ac:dyDescent="0.25">
      <c r="B9" s="27" t="s">
        <v>32</v>
      </c>
      <c r="C9" s="28" t="s">
        <v>33</v>
      </c>
      <c r="D9" s="29" t="s">
        <v>34</v>
      </c>
      <c r="E9" s="27" t="s">
        <v>32</v>
      </c>
      <c r="F9" s="28" t="s">
        <v>33</v>
      </c>
      <c r="G9" s="29" t="s">
        <v>34</v>
      </c>
      <c r="H9" s="27" t="s">
        <v>32</v>
      </c>
      <c r="I9" s="28" t="s">
        <v>33</v>
      </c>
      <c r="J9" s="29" t="s">
        <v>34</v>
      </c>
    </row>
    <row r="10" spans="1:10" x14ac:dyDescent="0.25">
      <c r="B10" s="30">
        <f>B3*1000</f>
        <v>56.185010417593922</v>
      </c>
      <c r="C10" s="54">
        <f>AVERAGE(B10:B12)</f>
        <v>55.486071917757329</v>
      </c>
      <c r="D10" s="56">
        <f>STDEV(B10:B12)</f>
        <v>0.63683763368393309</v>
      </c>
      <c r="E10" s="30">
        <f>E3*1000</f>
        <v>18.325759164063903</v>
      </c>
      <c r="F10" s="54">
        <f>AVERAGE(E10:E12)</f>
        <v>19.594247593435263</v>
      </c>
      <c r="G10" s="56">
        <f>STDEV(E10:E12)</f>
        <v>1.3405364624200888</v>
      </c>
      <c r="H10" s="30">
        <f>H3*1000</f>
        <v>40.096793647646628</v>
      </c>
      <c r="I10" s="54">
        <f>AVERAGE(H10:H12)</f>
        <v>39.247867257548322</v>
      </c>
      <c r="J10" s="58">
        <f>STDEV(H10:H12)</f>
        <v>0.7948205249609227</v>
      </c>
    </row>
    <row r="11" spans="1:10" x14ac:dyDescent="0.25">
      <c r="B11" s="30">
        <f>B4*1000</f>
        <v>54.938673635706863</v>
      </c>
      <c r="C11" s="54"/>
      <c r="D11" s="56"/>
      <c r="E11" s="30">
        <f t="shared" ref="E11:E12" si="0">E4*1000</f>
        <v>20.996763137464296</v>
      </c>
      <c r="F11" s="54"/>
      <c r="G11" s="56"/>
      <c r="H11" s="30">
        <f t="shared" ref="H11:H12" si="1">H4*1000</f>
        <v>39.125451500901079</v>
      </c>
      <c r="I11" s="54"/>
      <c r="J11" s="58"/>
    </row>
    <row r="12" spans="1:10" ht="15.75" thickBot="1" x14ac:dyDescent="0.3">
      <c r="B12" s="31">
        <f>B5*1000</f>
        <v>55.33453169997118</v>
      </c>
      <c r="C12" s="55"/>
      <c r="D12" s="57"/>
      <c r="E12" s="31">
        <f t="shared" si="0"/>
        <v>19.460220478777593</v>
      </c>
      <c r="F12" s="55"/>
      <c r="G12" s="57"/>
      <c r="H12" s="31">
        <f t="shared" si="1"/>
        <v>38.521356624097265</v>
      </c>
      <c r="I12" s="55"/>
      <c r="J12" s="59"/>
    </row>
    <row r="14" spans="1:10" x14ac:dyDescent="0.25">
      <c r="B14" t="s">
        <v>35</v>
      </c>
      <c r="E14" t="s">
        <v>36</v>
      </c>
      <c r="H14" t="s">
        <v>37</v>
      </c>
    </row>
    <row r="17" spans="3:6" x14ac:dyDescent="0.25">
      <c r="E17" t="s">
        <v>38</v>
      </c>
    </row>
    <row r="18" spans="3:6" x14ac:dyDescent="0.25">
      <c r="C18" t="str">
        <f>B8</f>
        <v>SB1  @600 psi</v>
      </c>
      <c r="D18" s="32">
        <f>C10</f>
        <v>55.486071917757329</v>
      </c>
    </row>
    <row r="19" spans="3:6" x14ac:dyDescent="0.25">
      <c r="C19" t="str">
        <f>E8</f>
        <v>SB2  @600 psi</v>
      </c>
      <c r="D19" s="32">
        <f>F10</f>
        <v>19.594247593435263</v>
      </c>
      <c r="E19" s="33">
        <f>(D18-D19)/D18</f>
        <v>0.6468618715255553</v>
      </c>
    </row>
    <row r="20" spans="3:6" x14ac:dyDescent="0.25">
      <c r="C20" t="str">
        <f>H8</f>
        <v>SB3  @600 psi</v>
      </c>
      <c r="D20" s="32">
        <f>I10</f>
        <v>39.247867257548322</v>
      </c>
      <c r="E20" s="33">
        <f>(D18-D20)/D18</f>
        <v>0.29265370747955682</v>
      </c>
    </row>
    <row r="22" spans="3:6" x14ac:dyDescent="0.25">
      <c r="F22" t="s">
        <v>39</v>
      </c>
    </row>
  </sheetData>
  <mergeCells count="20">
    <mergeCell ref="A1:A2"/>
    <mergeCell ref="B1:D1"/>
    <mergeCell ref="E1:G1"/>
    <mergeCell ref="H1:J1"/>
    <mergeCell ref="A3:A5"/>
    <mergeCell ref="C3:C5"/>
    <mergeCell ref="D3:D5"/>
    <mergeCell ref="F3:F5"/>
    <mergeCell ref="G3:G5"/>
    <mergeCell ref="I3:I5"/>
    <mergeCell ref="J3:J5"/>
    <mergeCell ref="B8:D8"/>
    <mergeCell ref="E8:G8"/>
    <mergeCell ref="H8:J8"/>
    <mergeCell ref="C10:C12"/>
    <mergeCell ref="D10:D12"/>
    <mergeCell ref="F10:F12"/>
    <mergeCell ref="G10:G12"/>
    <mergeCell ref="I10:I12"/>
    <mergeCell ref="J10:J12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2A69-B734-4126-8321-8659A4CA4554}">
  <dimension ref="A1:J22"/>
  <sheetViews>
    <sheetView zoomScale="75" workbookViewId="0">
      <selection activeCell="F51" sqref="F51"/>
    </sheetView>
  </sheetViews>
  <sheetFormatPr defaultColWidth="8.85546875" defaultRowHeight="15" x14ac:dyDescent="0.25"/>
  <cols>
    <col min="1" max="1" width="12.42578125" customWidth="1"/>
    <col min="2" max="2" width="12" bestFit="1" customWidth="1"/>
    <col min="3" max="3" width="14.28515625" customWidth="1"/>
    <col min="4" max="4" width="11" customWidth="1"/>
    <col min="5" max="5" width="12" bestFit="1" customWidth="1"/>
    <col min="6" max="6" width="14.140625" customWidth="1"/>
    <col min="7" max="7" width="12" bestFit="1" customWidth="1"/>
    <col min="8" max="8" width="14.85546875" customWidth="1"/>
    <col min="9" max="9" width="13" customWidth="1"/>
    <col min="10" max="10" width="10.7109375" customWidth="1"/>
  </cols>
  <sheetData>
    <row r="1" spans="1:10" ht="15.75" thickBot="1" x14ac:dyDescent="0.3">
      <c r="A1" s="46" t="s">
        <v>25</v>
      </c>
      <c r="B1" s="48" t="s">
        <v>40</v>
      </c>
      <c r="C1" s="49"/>
      <c r="D1" s="50"/>
      <c r="E1" s="48" t="s">
        <v>41</v>
      </c>
      <c r="F1" s="49"/>
      <c r="G1" s="50"/>
      <c r="H1" s="48" t="s">
        <v>42</v>
      </c>
      <c r="I1" s="49"/>
      <c r="J1" s="50"/>
    </row>
    <row r="2" spans="1:10" ht="30.75" thickBot="1" x14ac:dyDescent="0.3">
      <c r="A2" s="47"/>
      <c r="B2" s="20" t="s">
        <v>26</v>
      </c>
      <c r="C2" s="20" t="s">
        <v>27</v>
      </c>
      <c r="D2" s="21" t="s">
        <v>28</v>
      </c>
      <c r="E2" s="20" t="s">
        <v>26</v>
      </c>
      <c r="F2" s="20" t="s">
        <v>27</v>
      </c>
      <c r="G2" s="21" t="s">
        <v>28</v>
      </c>
      <c r="H2" s="20" t="s">
        <v>26</v>
      </c>
      <c r="I2" s="20" t="s">
        <v>27</v>
      </c>
      <c r="J2" s="21" t="s">
        <v>28</v>
      </c>
    </row>
    <row r="3" spans="1:10" x14ac:dyDescent="0.25">
      <c r="A3" s="45">
        <v>2600</v>
      </c>
      <c r="B3" s="22">
        <v>5.360476324027956E-2</v>
      </c>
      <c r="C3" s="39">
        <f>AVERAGE(B3:B5)</f>
        <v>5.354073837364446E-2</v>
      </c>
      <c r="D3" s="39">
        <f>STDEV(B3:B5)</f>
        <v>1.3148976066604994E-3</v>
      </c>
      <c r="E3" s="22">
        <v>1.6386546654587865E-2</v>
      </c>
      <c r="F3" s="39">
        <f>AVERAGE(E3:E5)</f>
        <v>1.7106386626274919E-2</v>
      </c>
      <c r="G3" s="39">
        <f>STDEV(E3:E5)</f>
        <v>6.3758588253974016E-4</v>
      </c>
      <c r="H3" s="22">
        <v>3.3817858697943279E-2</v>
      </c>
      <c r="I3" s="39">
        <f>AVERAGE(H3:H5)</f>
        <v>3.6524338289807896E-2</v>
      </c>
      <c r="J3" s="39">
        <f>STDEV(H3:H5)</f>
        <v>2.3857774706235093E-3</v>
      </c>
    </row>
    <row r="4" spans="1:10" x14ac:dyDescent="0.25">
      <c r="A4" s="43"/>
      <c r="B4" s="23">
        <v>5.2194997913549389E-2</v>
      </c>
      <c r="C4" s="40"/>
      <c r="D4" s="40"/>
      <c r="E4" s="23">
        <v>1.7332558457046451E-2</v>
      </c>
      <c r="F4" s="40"/>
      <c r="G4" s="40"/>
      <c r="H4" s="23">
        <v>3.7432426085351647E-2</v>
      </c>
      <c r="I4" s="40"/>
      <c r="J4" s="40"/>
    </row>
    <row r="5" spans="1:10" ht="15.75" thickBot="1" x14ac:dyDescent="0.3">
      <c r="A5" s="44"/>
      <c r="B5" s="24">
        <v>5.4822453967104445E-2</v>
      </c>
      <c r="C5" s="41"/>
      <c r="D5" s="41"/>
      <c r="E5" s="24">
        <v>1.7600054767190447E-2</v>
      </c>
      <c r="F5" s="41"/>
      <c r="G5" s="41"/>
      <c r="H5" s="24">
        <v>3.8322730086128777E-2</v>
      </c>
      <c r="I5" s="41"/>
      <c r="J5" s="41"/>
    </row>
    <row r="7" spans="1:10" ht="15.75" thickBot="1" x14ac:dyDescent="0.3"/>
    <row r="8" spans="1:10" x14ac:dyDescent="0.25">
      <c r="B8" s="51" t="s">
        <v>43</v>
      </c>
      <c r="C8" s="52"/>
      <c r="D8" s="53"/>
      <c r="E8" s="51" t="s">
        <v>41</v>
      </c>
      <c r="F8" s="52"/>
      <c r="G8" s="53"/>
      <c r="H8" s="51" t="s">
        <v>42</v>
      </c>
      <c r="I8" s="52"/>
      <c r="J8" s="53"/>
    </row>
    <row r="9" spans="1:10" s="26" customFormat="1" ht="30" x14ac:dyDescent="0.25">
      <c r="B9" s="27" t="s">
        <v>32</v>
      </c>
      <c r="C9" s="28" t="s">
        <v>33</v>
      </c>
      <c r="D9" s="29" t="s">
        <v>34</v>
      </c>
      <c r="E9" s="27" t="s">
        <v>32</v>
      </c>
      <c r="F9" s="28" t="s">
        <v>33</v>
      </c>
      <c r="G9" s="29" t="s">
        <v>34</v>
      </c>
      <c r="H9" s="27" t="s">
        <v>32</v>
      </c>
      <c r="I9" s="28" t="s">
        <v>33</v>
      </c>
      <c r="J9" s="29" t="s">
        <v>34</v>
      </c>
    </row>
    <row r="10" spans="1:10" x14ac:dyDescent="0.25">
      <c r="B10" s="30">
        <f>B3*1000</f>
        <v>53.60476324027956</v>
      </c>
      <c r="C10" s="54">
        <f>AVERAGE(B10:B12)</f>
        <v>53.540738373644466</v>
      </c>
      <c r="D10" s="56">
        <f>STDEV(B10:B12)</f>
        <v>1.3148976066605</v>
      </c>
      <c r="E10" s="30">
        <f>E3*1000</f>
        <v>16.386546654587864</v>
      </c>
      <c r="F10" s="54">
        <f>AVERAGE(E10:E12)</f>
        <v>17.106386626274922</v>
      </c>
      <c r="G10" s="56">
        <f>STDEV(E10:E12)</f>
        <v>0.63758588253974025</v>
      </c>
      <c r="H10" s="30">
        <f>H3*1000</f>
        <v>33.817858697943279</v>
      </c>
      <c r="I10" s="54">
        <f>AVERAGE(H10:H12)</f>
        <v>36.524338289807901</v>
      </c>
      <c r="J10" s="58">
        <f>STDEV(H10:H12)</f>
        <v>2.3857774706235104</v>
      </c>
    </row>
    <row r="11" spans="1:10" x14ac:dyDescent="0.25">
      <c r="B11" s="30">
        <f>B4*1000</f>
        <v>52.194997913549386</v>
      </c>
      <c r="C11" s="54"/>
      <c r="D11" s="56"/>
      <c r="E11" s="30">
        <f t="shared" ref="E11:E12" si="0">E4*1000</f>
        <v>17.332558457046449</v>
      </c>
      <c r="F11" s="54"/>
      <c r="G11" s="56"/>
      <c r="H11" s="30">
        <f t="shared" ref="H11:H12" si="1">H4*1000</f>
        <v>37.432426085351651</v>
      </c>
      <c r="I11" s="54"/>
      <c r="J11" s="58"/>
    </row>
    <row r="12" spans="1:10" ht="15.75" thickBot="1" x14ac:dyDescent="0.3">
      <c r="B12" s="31">
        <f>B5*1000</f>
        <v>54.822453967104444</v>
      </c>
      <c r="C12" s="55"/>
      <c r="D12" s="57"/>
      <c r="E12" s="31">
        <f t="shared" si="0"/>
        <v>17.600054767190446</v>
      </c>
      <c r="F12" s="55"/>
      <c r="G12" s="57"/>
      <c r="H12" s="31">
        <f t="shared" si="1"/>
        <v>38.322730086128779</v>
      </c>
      <c r="I12" s="55"/>
      <c r="J12" s="59"/>
    </row>
    <row r="14" spans="1:10" x14ac:dyDescent="0.25">
      <c r="B14" t="s">
        <v>35</v>
      </c>
      <c r="E14" t="s">
        <v>36</v>
      </c>
      <c r="H14" t="s">
        <v>37</v>
      </c>
    </row>
    <row r="17" spans="2:6" ht="30" x14ac:dyDescent="0.25">
      <c r="B17" s="34"/>
      <c r="C17" s="34"/>
      <c r="D17" s="28" t="s">
        <v>33</v>
      </c>
      <c r="E17" s="34" t="s">
        <v>38</v>
      </c>
    </row>
    <row r="18" spans="2:6" x14ac:dyDescent="0.25">
      <c r="C18" t="str">
        <f>B8</f>
        <v>SB1  @2600 psi</v>
      </c>
      <c r="D18" s="32">
        <f>C10</f>
        <v>53.540738373644466</v>
      </c>
    </row>
    <row r="19" spans="2:6" x14ac:dyDescent="0.25">
      <c r="C19" t="str">
        <f>E8</f>
        <v>SB2  @2600 psi</v>
      </c>
      <c r="D19" s="32">
        <f>F10</f>
        <v>17.106386626274922</v>
      </c>
      <c r="E19" s="33">
        <f>(D18-D19)/D18</f>
        <v>0.68049774534496199</v>
      </c>
    </row>
    <row r="20" spans="2:6" x14ac:dyDescent="0.25">
      <c r="C20" t="str">
        <f>H8</f>
        <v>SB3  @2600 psi</v>
      </c>
      <c r="D20" s="32">
        <f>I10</f>
        <v>36.524338289807901</v>
      </c>
      <c r="E20" s="33">
        <f>(D18-D20)/D18</f>
        <v>0.31782154301056337</v>
      </c>
    </row>
    <row r="22" spans="2:6" x14ac:dyDescent="0.25">
      <c r="F22" t="s">
        <v>39</v>
      </c>
    </row>
  </sheetData>
  <mergeCells count="20">
    <mergeCell ref="A1:A2"/>
    <mergeCell ref="B1:D1"/>
    <mergeCell ref="E1:G1"/>
    <mergeCell ref="H1:J1"/>
    <mergeCell ref="A3:A5"/>
    <mergeCell ref="C3:C5"/>
    <mergeCell ref="D3:D5"/>
    <mergeCell ref="F3:F5"/>
    <mergeCell ref="G3:G5"/>
    <mergeCell ref="I3:I5"/>
    <mergeCell ref="J3:J5"/>
    <mergeCell ref="B8:D8"/>
    <mergeCell ref="E8:G8"/>
    <mergeCell ref="H8:J8"/>
    <mergeCell ref="C10:C12"/>
    <mergeCell ref="D10:D12"/>
    <mergeCell ref="F10:F12"/>
    <mergeCell ref="G10:G12"/>
    <mergeCell ref="I10:I12"/>
    <mergeCell ref="J10:J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Permeability_Micro-Macro</vt:lpstr>
      <vt:lpstr>Porosity_micro-macro</vt:lpstr>
      <vt:lpstr>Porosity_EICPvsBP</vt:lpstr>
      <vt:lpstr>Micro_CT</vt:lpstr>
      <vt:lpstr>MacroPorosity</vt:lpstr>
      <vt:lpstr>MacroPermeability</vt:lpstr>
      <vt:lpstr>MacroPermeability @600</vt:lpstr>
      <vt:lpstr>MacroPermeability @2600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Kolawole, Oladoyin</cp:lastModifiedBy>
  <dcterms:created xsi:type="dcterms:W3CDTF">2025-04-15T04:49:28Z</dcterms:created>
  <dcterms:modified xsi:type="dcterms:W3CDTF">2026-01-15T15:10:12Z</dcterms:modified>
</cp:coreProperties>
</file>